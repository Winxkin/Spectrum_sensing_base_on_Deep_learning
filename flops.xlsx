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activeTab="4"/>
  </bookViews>
  <sheets>
    <sheet name="SpecSenseNet" sheetId="1" r:id="rId1"/>
    <sheet name="U-Net" sheetId="2" r:id="rId2"/>
    <sheet name="U-Netp" sheetId="3" r:id="rId3"/>
    <sheet name="U-NetE" sheetId="4" r:id="rId4"/>
    <sheet name="U-Netp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<sst xmlns="http://schemas.openxmlformats.org/spreadsheetml/2006/main" count="1930" uniqueCount="54">
  <si>
    <t>Encoder</t>
  </si>
  <si>
    <t>https://medium.com/@pashashaik/a-guide-to-hand-calculating-flops-and-macs-fa5221ce5ccc</t>
  </si>
  <si>
    <t xml:space="preserve">Layer 1 </t>
  </si>
  <si>
    <t>128 x 128</t>
  </si>
  <si>
    <t>dwconv (3x3, 1)</t>
  </si>
  <si>
    <t xml:space="preserve">Cin </t>
  </si>
  <si>
    <t>K_h</t>
  </si>
  <si>
    <t>K_w</t>
  </si>
  <si>
    <t>Hout</t>
  </si>
  <si>
    <t>Wout</t>
  </si>
  <si>
    <t>BN</t>
  </si>
  <si>
    <t>H</t>
  </si>
  <si>
    <t>W</t>
  </si>
  <si>
    <t>C</t>
  </si>
  <si>
    <t>Conv(3x3, 64)</t>
  </si>
  <si>
    <t>Cout</t>
  </si>
  <si>
    <t>Relu</t>
  </si>
  <si>
    <t>Layer 2</t>
  </si>
  <si>
    <t>64x64</t>
  </si>
  <si>
    <t>Conv(3x3, 128)</t>
  </si>
  <si>
    <t>Layer 3</t>
  </si>
  <si>
    <t>32x32</t>
  </si>
  <si>
    <t>Conv(3x3, 256)</t>
  </si>
  <si>
    <t>Layer 4</t>
  </si>
  <si>
    <t>16x16</t>
  </si>
  <si>
    <t>Conv(3x3, 512)</t>
  </si>
  <si>
    <t>Layer 5</t>
  </si>
  <si>
    <t>8x8</t>
  </si>
  <si>
    <t>Conv(3x3, 1024)</t>
  </si>
  <si>
    <t>Decoder</t>
  </si>
  <si>
    <t>https://chatgpt.com/c/67c2d4fe-0e5c-8007-80a6-5c7252968d4c</t>
  </si>
  <si>
    <t>ASPP</t>
  </si>
  <si>
    <t>OUTPUT CLASSIFICATION</t>
  </si>
  <si>
    <t>conv(3x3, 128)</t>
  </si>
  <si>
    <t>Cin</t>
  </si>
  <si>
    <t xml:space="preserve">K </t>
  </si>
  <si>
    <t>conv(3x3, 4)</t>
  </si>
  <si>
    <t>Total FLOPS</t>
  </si>
  <si>
    <t>ENCODER</t>
  </si>
  <si>
    <t>LAYER 1</t>
  </si>
  <si>
    <t>128x128</t>
  </si>
  <si>
    <t>conv(3x3, 64)</t>
  </si>
  <si>
    <t>LAYER 2</t>
  </si>
  <si>
    <t>LAYER 3</t>
  </si>
  <si>
    <t>conv(3x3, 256)</t>
  </si>
  <si>
    <t>LAYER 4</t>
  </si>
  <si>
    <t>conv(3x3, 512)</t>
  </si>
  <si>
    <t>LAYER 5</t>
  </si>
  <si>
    <t>conv(3x3, 1024)</t>
  </si>
  <si>
    <t>DECODER</t>
  </si>
  <si>
    <t>OUTPUT</t>
  </si>
  <si>
    <t>conv(3x3, 2)</t>
  </si>
  <si>
    <t>conv(3x3, 1)</t>
  </si>
  <si>
    <t>Total FLOPs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</si>
</sst>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0" xfId="0" applyFill="1"/>
    <xf numFmtId="0" fontId="0" fillId="4" borderId="1" xfId="0" applyFill="1" applyBorder="1"/>
    <xf numFmtId="0" fontId="0" fillId="2" borderId="1" xfId="0" applyFill="1" applyBorder="1"/>
    <xf numFmtId="0" fontId="0" fillId="5" borderId="0" xfId="0" applyFill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3" borderId="0" xfId="0" applyFill="1" applyBorder="1"/>
    <xf numFmtId="0" fontId="0" fillId="0" borderId="0" xfId="0" applyBorder="1"/>
    <xf numFmtId="0" fontId="0" fillId="6" borderId="1" xfId="0" applyFill="1" applyBorder="1"/>
    <xf numFmtId="0" fontId="1" fillId="7" borderId="0" xfId="0" applyFont="1" applyFill="1" applyAlignment="1">
      <alignment horizontal="center" vertical="center"/>
    </xf>
    <xf numFmtId="0" fontId="2" fillId="0" borderId="0" xfId="6" applyFont="1"/>
    <xf numFmtId="0" fontId="0" fillId="0" borderId="0" xfId="0" applyAlignment="1">
      <alignment vertical="center"/>
    </xf>
    <xf numFmtId="0" fontId="3" fillId="0" borderId="0" xfId="6"/>
    <xf numFmtId="0" fontId="0" fillId="8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hatgpt.com/c/67c2d4fe-0e5c-8007-80a6-5c7252968d4c" TargetMode="External"/><Relationship Id="rId1" Type="http://schemas.openxmlformats.org/officeDocument/2006/relationships/hyperlink" Target="https://medium.com/@pashashaik/a-guide-to-hand-calculating-flops-and-macs-fa5221ce5c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2"/>
  <sheetViews>
    <sheetView zoomScale="145" zoomScaleNormal="145" topLeftCell="A399" workbookViewId="0">
      <selection activeCell="C412" sqref="C412"/>
    </sheetView>
  </sheetViews>
  <sheetFormatPr defaultColWidth="9" defaultRowHeight="14.4"/>
  <cols>
    <col min="2" max="2" width="21.6481481481481" customWidth="1"/>
    <col min="3" max="3" width="18.9074074074074" customWidth="1"/>
    <col min="6" max="6" width="17.8611111111111" customWidth="1"/>
    <col min="8" max="8" width="23.7685185185185" customWidth="1"/>
    <col min="9" max="9" width="20.8703703703704" customWidth="1"/>
    <col min="12" max="12" width="11.7777777777778"/>
  </cols>
  <sheetData>
    <row r="1" spans="1:8">
      <c r="A1" s="13" t="s">
        <v>0</v>
      </c>
      <c r="H1" s="14" t="s">
        <v>1</v>
      </c>
    </row>
    <row r="2" spans="1:5">
      <c r="A2" s="13"/>
      <c r="B2" s="2" t="s">
        <v>2</v>
      </c>
      <c r="C2" s="3" t="s">
        <v>3</v>
      </c>
      <c r="D2" s="3"/>
      <c r="E2" s="3"/>
    </row>
    <row r="3" spans="1:5">
      <c r="A3" s="13"/>
      <c r="B3" s="2"/>
      <c r="C3" s="2" t="s">
        <v>4</v>
      </c>
      <c r="D3" s="3"/>
      <c r="E3" s="3"/>
    </row>
    <row r="4" spans="1:6">
      <c r="A4" s="13"/>
      <c r="B4" s="2"/>
      <c r="C4" s="2"/>
      <c r="D4" s="3" t="s">
        <v>5</v>
      </c>
      <c r="E4" s="3">
        <v>3</v>
      </c>
      <c r="F4">
        <f>2*PRODUCT(E4:E8)</f>
        <v>884736</v>
      </c>
    </row>
    <row r="5" spans="1:5">
      <c r="A5" s="13"/>
      <c r="B5" s="2"/>
      <c r="C5" s="2"/>
      <c r="D5" s="3" t="s">
        <v>6</v>
      </c>
      <c r="E5" s="3">
        <v>3</v>
      </c>
    </row>
    <row r="6" spans="1:5">
      <c r="A6" s="13"/>
      <c r="B6" s="2"/>
      <c r="C6" s="2"/>
      <c r="D6" s="3" t="s">
        <v>7</v>
      </c>
      <c r="E6" s="3">
        <v>3</v>
      </c>
    </row>
    <row r="7" spans="1:5">
      <c r="A7" s="13"/>
      <c r="B7" s="2"/>
      <c r="C7" s="2"/>
      <c r="D7" s="3" t="s">
        <v>8</v>
      </c>
      <c r="E7" s="3">
        <v>128</v>
      </c>
    </row>
    <row r="8" spans="1:5">
      <c r="A8" s="13"/>
      <c r="B8" s="2"/>
      <c r="C8" s="2"/>
      <c r="D8" s="3" t="s">
        <v>9</v>
      </c>
      <c r="E8" s="3">
        <v>128</v>
      </c>
    </row>
    <row r="9" spans="1:5">
      <c r="A9" s="13"/>
      <c r="B9" s="2"/>
      <c r="C9" s="2" t="s">
        <v>10</v>
      </c>
      <c r="D9" s="3"/>
      <c r="E9" s="3"/>
    </row>
    <row r="10" spans="1:6">
      <c r="A10" s="13"/>
      <c r="B10" s="2"/>
      <c r="C10" s="2"/>
      <c r="D10" s="3" t="s">
        <v>11</v>
      </c>
      <c r="E10" s="3">
        <v>128</v>
      </c>
      <c r="F10">
        <f>2*PRODUCT(E10:E12)</f>
        <v>98304</v>
      </c>
    </row>
    <row r="11" spans="1:5">
      <c r="A11" s="13"/>
      <c r="B11" s="2"/>
      <c r="C11" s="2"/>
      <c r="D11" s="3" t="s">
        <v>12</v>
      </c>
      <c r="E11" s="3">
        <v>128</v>
      </c>
    </row>
    <row r="12" spans="1:5">
      <c r="A12" s="13"/>
      <c r="B12" s="2"/>
      <c r="C12" s="2"/>
      <c r="D12" s="3" t="s">
        <v>13</v>
      </c>
      <c r="E12" s="3">
        <v>3</v>
      </c>
    </row>
    <row r="13" spans="1:5">
      <c r="A13" s="13"/>
      <c r="B13" s="2"/>
      <c r="C13" s="2" t="s">
        <v>14</v>
      </c>
      <c r="D13" s="3"/>
      <c r="E13" s="3"/>
    </row>
    <row r="14" spans="1:6">
      <c r="A14" s="13"/>
      <c r="B14" s="2"/>
      <c r="C14" s="2"/>
      <c r="D14" s="3" t="s">
        <v>5</v>
      </c>
      <c r="E14" s="3">
        <v>64</v>
      </c>
      <c r="F14">
        <f>2*PRODUCT(E14:E17)</f>
        <v>134217728</v>
      </c>
    </row>
    <row r="15" spans="1:5">
      <c r="A15" s="13"/>
      <c r="B15" s="2"/>
      <c r="C15" s="2"/>
      <c r="D15" s="3" t="s">
        <v>15</v>
      </c>
      <c r="E15" s="3">
        <v>64</v>
      </c>
    </row>
    <row r="16" spans="1:5">
      <c r="A16" s="13"/>
      <c r="B16" s="2"/>
      <c r="C16" s="2"/>
      <c r="D16" s="3" t="s">
        <v>8</v>
      </c>
      <c r="E16" s="3">
        <v>128</v>
      </c>
    </row>
    <row r="17" spans="1:5">
      <c r="A17" s="13"/>
      <c r="B17" s="2"/>
      <c r="C17" s="2"/>
      <c r="D17" s="3" t="s">
        <v>9</v>
      </c>
      <c r="E17" s="3">
        <v>128</v>
      </c>
    </row>
    <row r="18" spans="1:5">
      <c r="A18" s="13"/>
      <c r="B18" s="2"/>
      <c r="C18" s="2" t="s">
        <v>16</v>
      </c>
      <c r="D18" s="3"/>
      <c r="E18" s="3"/>
    </row>
    <row r="19" spans="1:6">
      <c r="A19" s="13"/>
      <c r="B19" s="2"/>
      <c r="C19" s="2"/>
      <c r="D19" s="3" t="s">
        <v>11</v>
      </c>
      <c r="E19" s="3">
        <v>128</v>
      </c>
      <c r="F19">
        <f>PRODUCT(E19:E21)</f>
        <v>1048576</v>
      </c>
    </row>
    <row r="20" spans="1:5">
      <c r="A20" s="13"/>
      <c r="B20" s="2"/>
      <c r="C20" s="2"/>
      <c r="D20" s="3" t="s">
        <v>12</v>
      </c>
      <c r="E20" s="3">
        <v>128</v>
      </c>
    </row>
    <row r="21" spans="1:5">
      <c r="A21" s="13"/>
      <c r="B21" s="2"/>
      <c r="C21" s="2"/>
      <c r="D21" s="3" t="s">
        <v>13</v>
      </c>
      <c r="E21" s="3">
        <v>64</v>
      </c>
    </row>
    <row r="22" spans="1:6">
      <c r="A22" s="13"/>
      <c r="B22" s="2"/>
      <c r="C22" s="3"/>
      <c r="D22" s="3"/>
      <c r="E22" s="3"/>
      <c r="F22" s="4">
        <f>SUM(F4,F10,F14,F19)</f>
        <v>136249344</v>
      </c>
    </row>
    <row r="23" spans="1:5">
      <c r="A23" s="13"/>
      <c r="B23" s="2"/>
      <c r="C23" s="2" t="s">
        <v>4</v>
      </c>
      <c r="D23" s="3"/>
      <c r="E23" s="3"/>
    </row>
    <row r="24" spans="1:6">
      <c r="A24" s="13"/>
      <c r="B24" s="2"/>
      <c r="C24" s="2"/>
      <c r="D24" s="3" t="s">
        <v>5</v>
      </c>
      <c r="E24" s="3">
        <v>64</v>
      </c>
      <c r="F24">
        <f>2*PRODUCT(E24:E28)</f>
        <v>18874368</v>
      </c>
    </row>
    <row r="25" spans="1:5">
      <c r="A25" s="13"/>
      <c r="B25" s="2"/>
      <c r="C25" s="2"/>
      <c r="D25" s="3" t="s">
        <v>6</v>
      </c>
      <c r="E25" s="3">
        <v>3</v>
      </c>
    </row>
    <row r="26" spans="1:5">
      <c r="A26" s="13"/>
      <c r="B26" s="2"/>
      <c r="C26" s="2"/>
      <c r="D26" s="3" t="s">
        <v>7</v>
      </c>
      <c r="E26" s="3">
        <v>3</v>
      </c>
    </row>
    <row r="27" spans="1:5">
      <c r="A27" s="13"/>
      <c r="B27" s="2"/>
      <c r="C27" s="2"/>
      <c r="D27" s="3" t="s">
        <v>8</v>
      </c>
      <c r="E27" s="3">
        <v>128</v>
      </c>
    </row>
    <row r="28" spans="1:5">
      <c r="A28" s="13"/>
      <c r="B28" s="2"/>
      <c r="C28" s="2"/>
      <c r="D28" s="3" t="s">
        <v>9</v>
      </c>
      <c r="E28" s="3">
        <v>128</v>
      </c>
    </row>
    <row r="29" spans="1:5">
      <c r="A29" s="13"/>
      <c r="B29" s="2"/>
      <c r="C29" s="2" t="s">
        <v>10</v>
      </c>
      <c r="D29" s="3"/>
      <c r="E29" s="3"/>
    </row>
    <row r="30" spans="1:6">
      <c r="A30" s="13"/>
      <c r="B30" s="2"/>
      <c r="C30" s="2"/>
      <c r="D30" s="3" t="s">
        <v>11</v>
      </c>
      <c r="E30" s="3">
        <v>128</v>
      </c>
      <c r="F30">
        <f>2*PRODUCT(E30:E32)</f>
        <v>2097152</v>
      </c>
    </row>
    <row r="31" spans="1:5">
      <c r="A31" s="13"/>
      <c r="B31" s="2"/>
      <c r="C31" s="2"/>
      <c r="D31" s="3" t="s">
        <v>12</v>
      </c>
      <c r="E31" s="3">
        <v>128</v>
      </c>
    </row>
    <row r="32" spans="1:5">
      <c r="A32" s="13"/>
      <c r="B32" s="2"/>
      <c r="C32" s="2"/>
      <c r="D32" s="3" t="s">
        <v>13</v>
      </c>
      <c r="E32" s="3">
        <v>64</v>
      </c>
    </row>
    <row r="33" spans="1:5">
      <c r="A33" s="13"/>
      <c r="B33" s="2"/>
      <c r="C33" s="2" t="s">
        <v>14</v>
      </c>
      <c r="D33" s="3"/>
      <c r="E33" s="3"/>
    </row>
    <row r="34" spans="1:6">
      <c r="A34" s="13"/>
      <c r="B34" s="2"/>
      <c r="C34" s="2"/>
      <c r="D34" s="3" t="s">
        <v>5</v>
      </c>
      <c r="E34" s="3">
        <v>64</v>
      </c>
      <c r="F34">
        <f>2*PRODUCT(E34:E37)</f>
        <v>134217728</v>
      </c>
    </row>
    <row r="35" spans="1:5">
      <c r="A35" s="13"/>
      <c r="B35" s="2"/>
      <c r="C35" s="2"/>
      <c r="D35" s="3" t="s">
        <v>15</v>
      </c>
      <c r="E35" s="3">
        <v>64</v>
      </c>
    </row>
    <row r="36" spans="1:5">
      <c r="A36" s="13"/>
      <c r="B36" s="2"/>
      <c r="C36" s="2"/>
      <c r="D36" s="3" t="s">
        <v>8</v>
      </c>
      <c r="E36" s="3">
        <v>128</v>
      </c>
    </row>
    <row r="37" spans="1:5">
      <c r="A37" s="13"/>
      <c r="B37" s="2"/>
      <c r="C37" s="2"/>
      <c r="D37" s="3" t="s">
        <v>9</v>
      </c>
      <c r="E37" s="3">
        <v>128</v>
      </c>
    </row>
    <row r="38" spans="1:5">
      <c r="A38" s="13"/>
      <c r="B38" s="2"/>
      <c r="C38" s="2" t="s">
        <v>16</v>
      </c>
      <c r="D38" s="3"/>
      <c r="E38" s="3"/>
    </row>
    <row r="39" spans="1:6">
      <c r="A39" s="13"/>
      <c r="B39" s="2"/>
      <c r="C39" s="2"/>
      <c r="D39" s="3" t="s">
        <v>11</v>
      </c>
      <c r="E39" s="3">
        <v>128</v>
      </c>
      <c r="F39">
        <f>PRODUCT(E39:E41)</f>
        <v>1048576</v>
      </c>
    </row>
    <row r="40" spans="1:5">
      <c r="A40" s="13"/>
      <c r="B40" s="2"/>
      <c r="C40" s="2"/>
      <c r="D40" s="3" t="s">
        <v>12</v>
      </c>
      <c r="E40" s="3">
        <v>128</v>
      </c>
    </row>
    <row r="41" spans="1:5">
      <c r="A41" s="13"/>
      <c r="B41" s="2"/>
      <c r="C41" s="2"/>
      <c r="D41" s="3" t="s">
        <v>13</v>
      </c>
      <c r="E41" s="3">
        <v>64</v>
      </c>
    </row>
    <row r="42" spans="1:6">
      <c r="A42" s="13"/>
      <c r="B42" s="2"/>
      <c r="C42" s="15"/>
      <c r="F42" s="4">
        <f>SUM(F24,F30,F34,F39)</f>
        <v>156237824</v>
      </c>
    </row>
    <row r="43" spans="1:5">
      <c r="A43" s="13"/>
      <c r="B43" s="2" t="s">
        <v>17</v>
      </c>
      <c r="C43" s="3" t="s">
        <v>18</v>
      </c>
      <c r="D43" s="3"/>
      <c r="E43" s="3"/>
    </row>
    <row r="44" spans="1:5">
      <c r="A44" s="13"/>
      <c r="B44" s="2"/>
      <c r="C44" s="2" t="s">
        <v>4</v>
      </c>
      <c r="D44" s="3"/>
      <c r="E44" s="3"/>
    </row>
    <row r="45" spans="1:6">
      <c r="A45" s="13"/>
      <c r="B45" s="2"/>
      <c r="C45" s="2"/>
      <c r="D45" s="3" t="s">
        <v>5</v>
      </c>
      <c r="E45" s="3">
        <v>64</v>
      </c>
      <c r="F45">
        <f>2*PRODUCT(E45:E49)</f>
        <v>4718592</v>
      </c>
    </row>
    <row r="46" spans="1:5">
      <c r="A46" s="13"/>
      <c r="B46" s="2"/>
      <c r="C46" s="2"/>
      <c r="D46" s="3" t="s">
        <v>6</v>
      </c>
      <c r="E46" s="3">
        <v>3</v>
      </c>
    </row>
    <row r="47" spans="1:5">
      <c r="A47" s="13"/>
      <c r="B47" s="2"/>
      <c r="C47" s="2"/>
      <c r="D47" s="3" t="s">
        <v>7</v>
      </c>
      <c r="E47" s="3">
        <v>3</v>
      </c>
    </row>
    <row r="48" spans="1:5">
      <c r="A48" s="13"/>
      <c r="B48" s="2"/>
      <c r="C48" s="2"/>
      <c r="D48" s="3" t="s">
        <v>8</v>
      </c>
      <c r="E48" s="3">
        <v>64</v>
      </c>
    </row>
    <row r="49" spans="1:5">
      <c r="A49" s="13"/>
      <c r="B49" s="2"/>
      <c r="C49" s="2"/>
      <c r="D49" s="3" t="s">
        <v>9</v>
      </c>
      <c r="E49" s="3">
        <v>64</v>
      </c>
    </row>
    <row r="50" spans="1:5">
      <c r="A50" s="13"/>
      <c r="B50" s="2"/>
      <c r="C50" s="2" t="s">
        <v>10</v>
      </c>
      <c r="D50" s="3"/>
      <c r="E50" s="3"/>
    </row>
    <row r="51" spans="1:6">
      <c r="A51" s="13"/>
      <c r="B51" s="2"/>
      <c r="C51" s="2"/>
      <c r="D51" s="3" t="s">
        <v>11</v>
      </c>
      <c r="E51" s="3">
        <v>64</v>
      </c>
      <c r="F51">
        <f>2*PRODUCT(E51:E53)</f>
        <v>524288</v>
      </c>
    </row>
    <row r="52" spans="1:5">
      <c r="A52" s="13"/>
      <c r="B52" s="2"/>
      <c r="C52" s="2"/>
      <c r="D52" s="3" t="s">
        <v>12</v>
      </c>
      <c r="E52" s="3">
        <v>64</v>
      </c>
    </row>
    <row r="53" spans="1:5">
      <c r="A53" s="13"/>
      <c r="B53" s="2"/>
      <c r="C53" s="2"/>
      <c r="D53" s="3" t="s">
        <v>13</v>
      </c>
      <c r="E53" s="3">
        <v>64</v>
      </c>
    </row>
    <row r="54" spans="1:5">
      <c r="A54" s="13"/>
      <c r="B54" s="2"/>
      <c r="C54" s="2" t="s">
        <v>19</v>
      </c>
      <c r="D54" s="3"/>
      <c r="E54" s="3"/>
    </row>
    <row r="55" spans="1:6">
      <c r="A55" s="13"/>
      <c r="B55" s="2"/>
      <c r="C55" s="2"/>
      <c r="D55" s="3" t="s">
        <v>5</v>
      </c>
      <c r="E55" s="3">
        <v>64</v>
      </c>
      <c r="F55">
        <f>2*PRODUCT(E55:E58)</f>
        <v>67108864</v>
      </c>
    </row>
    <row r="56" spans="1:5">
      <c r="A56" s="13"/>
      <c r="B56" s="2"/>
      <c r="C56" s="2"/>
      <c r="D56" s="3" t="s">
        <v>15</v>
      </c>
      <c r="E56" s="3">
        <v>128</v>
      </c>
    </row>
    <row r="57" spans="1:5">
      <c r="A57" s="13"/>
      <c r="B57" s="2"/>
      <c r="C57" s="2"/>
      <c r="D57" s="3" t="s">
        <v>8</v>
      </c>
      <c r="E57" s="3">
        <v>64</v>
      </c>
    </row>
    <row r="58" spans="1:5">
      <c r="A58" s="13"/>
      <c r="B58" s="2"/>
      <c r="C58" s="2"/>
      <c r="D58" s="3" t="s">
        <v>9</v>
      </c>
      <c r="E58" s="3">
        <v>64</v>
      </c>
    </row>
    <row r="59" spans="1:5">
      <c r="A59" s="13"/>
      <c r="B59" s="2"/>
      <c r="C59" s="2" t="s">
        <v>16</v>
      </c>
      <c r="D59" s="3"/>
      <c r="E59" s="3"/>
    </row>
    <row r="60" spans="1:6">
      <c r="A60" s="13"/>
      <c r="B60" s="2"/>
      <c r="C60" s="2"/>
      <c r="D60" s="3" t="s">
        <v>11</v>
      </c>
      <c r="E60" s="3">
        <v>64</v>
      </c>
      <c r="F60">
        <f>PRODUCT(E60:E62)</f>
        <v>524288</v>
      </c>
    </row>
    <row r="61" spans="1:5">
      <c r="A61" s="13"/>
      <c r="B61" s="2"/>
      <c r="C61" s="2"/>
      <c r="D61" s="3" t="s">
        <v>12</v>
      </c>
      <c r="E61" s="3">
        <v>64</v>
      </c>
    </row>
    <row r="62" spans="1:5">
      <c r="A62" s="13"/>
      <c r="B62" s="2"/>
      <c r="C62" s="2"/>
      <c r="D62" s="3" t="s">
        <v>13</v>
      </c>
      <c r="E62" s="3">
        <v>128</v>
      </c>
    </row>
    <row r="63" spans="1:5">
      <c r="A63" s="13"/>
      <c r="B63" s="2"/>
      <c r="C63" s="3"/>
      <c r="D63" s="3"/>
      <c r="E63" s="3"/>
    </row>
    <row r="64" spans="1:5">
      <c r="A64" s="13"/>
      <c r="B64" s="2"/>
      <c r="C64" s="2" t="s">
        <v>4</v>
      </c>
      <c r="D64" s="3"/>
      <c r="E64" s="3"/>
    </row>
    <row r="65" spans="1:6">
      <c r="A65" s="13"/>
      <c r="B65" s="2"/>
      <c r="C65" s="2"/>
      <c r="D65" s="3" t="s">
        <v>5</v>
      </c>
      <c r="E65" s="3">
        <v>128</v>
      </c>
      <c r="F65">
        <f>2*PRODUCT(E65:E69)</f>
        <v>9437184</v>
      </c>
    </row>
    <row r="66" spans="1:5">
      <c r="A66" s="13"/>
      <c r="B66" s="2"/>
      <c r="C66" s="2"/>
      <c r="D66" s="3" t="s">
        <v>6</v>
      </c>
      <c r="E66" s="3">
        <v>3</v>
      </c>
    </row>
    <row r="67" spans="1:5">
      <c r="A67" s="13"/>
      <c r="B67" s="2"/>
      <c r="C67" s="2"/>
      <c r="D67" s="3" t="s">
        <v>7</v>
      </c>
      <c r="E67" s="3">
        <v>3</v>
      </c>
    </row>
    <row r="68" spans="1:5">
      <c r="A68" s="13"/>
      <c r="B68" s="2"/>
      <c r="C68" s="2"/>
      <c r="D68" s="3" t="s">
        <v>8</v>
      </c>
      <c r="E68" s="3">
        <v>64</v>
      </c>
    </row>
    <row r="69" spans="1:5">
      <c r="A69" s="13"/>
      <c r="B69" s="2"/>
      <c r="C69" s="2"/>
      <c r="D69" s="3" t="s">
        <v>9</v>
      </c>
      <c r="E69" s="3">
        <v>64</v>
      </c>
    </row>
    <row r="70" spans="1:5">
      <c r="A70" s="13"/>
      <c r="B70" s="2"/>
      <c r="C70" s="2" t="s">
        <v>10</v>
      </c>
      <c r="D70" s="3"/>
      <c r="E70" s="3"/>
    </row>
    <row r="71" spans="1:6">
      <c r="A71" s="13"/>
      <c r="B71" s="2"/>
      <c r="C71" s="2"/>
      <c r="D71" s="3" t="s">
        <v>11</v>
      </c>
      <c r="E71" s="3">
        <v>64</v>
      </c>
      <c r="F71">
        <f>2*PRODUCT(E71:E73)</f>
        <v>1048576</v>
      </c>
    </row>
    <row r="72" spans="1:5">
      <c r="A72" s="13"/>
      <c r="B72" s="2"/>
      <c r="C72" s="2"/>
      <c r="D72" s="3" t="s">
        <v>12</v>
      </c>
      <c r="E72" s="3">
        <v>64</v>
      </c>
    </row>
    <row r="73" spans="1:5">
      <c r="A73" s="13"/>
      <c r="B73" s="2"/>
      <c r="C73" s="2"/>
      <c r="D73" s="3" t="s">
        <v>13</v>
      </c>
      <c r="E73" s="3">
        <v>128</v>
      </c>
    </row>
    <row r="74" spans="1:5">
      <c r="A74" s="13"/>
      <c r="B74" s="2"/>
      <c r="C74" s="2" t="s">
        <v>19</v>
      </c>
      <c r="D74" s="3"/>
      <c r="E74" s="3"/>
    </row>
    <row r="75" spans="1:6">
      <c r="A75" s="13"/>
      <c r="B75" s="2"/>
      <c r="C75" s="2"/>
      <c r="D75" s="3" t="s">
        <v>5</v>
      </c>
      <c r="E75" s="3">
        <v>128</v>
      </c>
      <c r="F75">
        <f>2*PRODUCT(E75:E78)</f>
        <v>134217728</v>
      </c>
    </row>
    <row r="76" spans="1:5">
      <c r="A76" s="13"/>
      <c r="B76" s="2"/>
      <c r="C76" s="2"/>
      <c r="D76" s="3" t="s">
        <v>15</v>
      </c>
      <c r="E76" s="3">
        <v>128</v>
      </c>
    </row>
    <row r="77" spans="1:5">
      <c r="A77" s="13"/>
      <c r="B77" s="2"/>
      <c r="C77" s="2"/>
      <c r="D77" s="3" t="s">
        <v>8</v>
      </c>
      <c r="E77" s="3">
        <v>64</v>
      </c>
    </row>
    <row r="78" spans="1:5">
      <c r="A78" s="13"/>
      <c r="B78" s="2"/>
      <c r="C78" s="2"/>
      <c r="D78" s="3" t="s">
        <v>9</v>
      </c>
      <c r="E78" s="3">
        <v>64</v>
      </c>
    </row>
    <row r="79" spans="1:5">
      <c r="A79" s="13"/>
      <c r="B79" s="2"/>
      <c r="C79" s="2" t="s">
        <v>16</v>
      </c>
      <c r="D79" s="3"/>
      <c r="E79" s="3"/>
    </row>
    <row r="80" spans="1:6">
      <c r="A80" s="13"/>
      <c r="B80" s="2"/>
      <c r="C80" s="2"/>
      <c r="D80" s="3" t="s">
        <v>11</v>
      </c>
      <c r="E80" s="3">
        <v>64</v>
      </c>
      <c r="F80">
        <f>PRODUCT(E80:E82)</f>
        <v>524288</v>
      </c>
    </row>
    <row r="81" spans="1:5">
      <c r="A81" s="13"/>
      <c r="B81" s="2"/>
      <c r="C81" s="2"/>
      <c r="D81" s="3" t="s">
        <v>12</v>
      </c>
      <c r="E81" s="3">
        <v>64</v>
      </c>
    </row>
    <row r="82" spans="1:5">
      <c r="A82" s="13"/>
      <c r="B82" s="2"/>
      <c r="C82" s="2"/>
      <c r="D82" s="3" t="s">
        <v>13</v>
      </c>
      <c r="E82" s="3">
        <v>128</v>
      </c>
    </row>
    <row r="83" spans="1:6">
      <c r="A83" s="13"/>
      <c r="B83" s="2"/>
      <c r="C83" s="15"/>
      <c r="F83" s="4">
        <f>SUM(F45,F51,F55,F60,F65,F71,F75,F80)</f>
        <v>218103808</v>
      </c>
    </row>
    <row r="84" spans="1:5">
      <c r="A84" s="13"/>
      <c r="B84" s="2" t="s">
        <v>20</v>
      </c>
      <c r="C84" s="3" t="s">
        <v>21</v>
      </c>
      <c r="D84" s="3"/>
      <c r="E84" s="3"/>
    </row>
    <row r="85" spans="1:5">
      <c r="A85" s="13"/>
      <c r="B85" s="2"/>
      <c r="C85" s="2" t="s">
        <v>4</v>
      </c>
      <c r="D85" s="3"/>
      <c r="E85" s="3"/>
    </row>
    <row r="86" spans="1:6">
      <c r="A86" s="13"/>
      <c r="B86" s="2"/>
      <c r="C86" s="2"/>
      <c r="D86" s="3" t="s">
        <v>5</v>
      </c>
      <c r="E86" s="3">
        <v>128</v>
      </c>
      <c r="F86">
        <f>2*PRODUCT(E86:E90)</f>
        <v>2359296</v>
      </c>
    </row>
    <row r="87" spans="1:5">
      <c r="A87" s="13"/>
      <c r="B87" s="2"/>
      <c r="C87" s="2"/>
      <c r="D87" s="3" t="s">
        <v>6</v>
      </c>
      <c r="E87" s="3">
        <v>3</v>
      </c>
    </row>
    <row r="88" spans="1:5">
      <c r="A88" s="13"/>
      <c r="B88" s="2"/>
      <c r="C88" s="2"/>
      <c r="D88" s="3" t="s">
        <v>7</v>
      </c>
      <c r="E88" s="3">
        <v>3</v>
      </c>
    </row>
    <row r="89" spans="1:5">
      <c r="A89" s="13"/>
      <c r="B89" s="2"/>
      <c r="C89" s="2"/>
      <c r="D89" s="3" t="s">
        <v>8</v>
      </c>
      <c r="E89" s="3">
        <v>32</v>
      </c>
    </row>
    <row r="90" spans="1:5">
      <c r="A90" s="13"/>
      <c r="B90" s="2"/>
      <c r="C90" s="2"/>
      <c r="D90" s="3" t="s">
        <v>9</v>
      </c>
      <c r="E90" s="3">
        <v>32</v>
      </c>
    </row>
    <row r="91" spans="1:5">
      <c r="A91" s="13"/>
      <c r="B91" s="2"/>
      <c r="C91" s="2" t="s">
        <v>10</v>
      </c>
      <c r="D91" s="3"/>
      <c r="E91" s="3"/>
    </row>
    <row r="92" spans="1:6">
      <c r="A92" s="13"/>
      <c r="B92" s="2"/>
      <c r="C92" s="2"/>
      <c r="D92" s="3" t="s">
        <v>11</v>
      </c>
      <c r="E92" s="3">
        <v>32</v>
      </c>
      <c r="F92">
        <f>2*PRODUCT(E92:E94)</f>
        <v>262144</v>
      </c>
    </row>
    <row r="93" spans="1:5">
      <c r="A93" s="13"/>
      <c r="B93" s="2"/>
      <c r="C93" s="2"/>
      <c r="D93" s="3" t="s">
        <v>12</v>
      </c>
      <c r="E93" s="3">
        <v>32</v>
      </c>
    </row>
    <row r="94" spans="1:5">
      <c r="A94" s="13"/>
      <c r="B94" s="2"/>
      <c r="C94" s="2"/>
      <c r="D94" s="3" t="s">
        <v>13</v>
      </c>
      <c r="E94" s="3">
        <v>128</v>
      </c>
    </row>
    <row r="95" spans="1:5">
      <c r="A95" s="13"/>
      <c r="B95" s="2"/>
      <c r="C95" s="2" t="s">
        <v>22</v>
      </c>
      <c r="D95" s="3"/>
      <c r="E95" s="3"/>
    </row>
    <row r="96" spans="1:6">
      <c r="A96" s="13"/>
      <c r="B96" s="2"/>
      <c r="C96" s="2"/>
      <c r="D96" s="3" t="s">
        <v>5</v>
      </c>
      <c r="E96" s="3">
        <v>128</v>
      </c>
      <c r="F96">
        <f>2*PRODUCT(E96:E99)</f>
        <v>67108864</v>
      </c>
    </row>
    <row r="97" spans="1:5">
      <c r="A97" s="13"/>
      <c r="B97" s="2"/>
      <c r="C97" s="2"/>
      <c r="D97" s="3" t="s">
        <v>15</v>
      </c>
      <c r="E97" s="3">
        <v>256</v>
      </c>
    </row>
    <row r="98" spans="1:5">
      <c r="A98" s="13"/>
      <c r="B98" s="2"/>
      <c r="C98" s="2"/>
      <c r="D98" s="3" t="s">
        <v>8</v>
      </c>
      <c r="E98" s="3">
        <v>32</v>
      </c>
    </row>
    <row r="99" spans="1:5">
      <c r="A99" s="13"/>
      <c r="B99" s="2"/>
      <c r="C99" s="2"/>
      <c r="D99" s="3" t="s">
        <v>9</v>
      </c>
      <c r="E99" s="3">
        <v>32</v>
      </c>
    </row>
    <row r="100" spans="1:5">
      <c r="A100" s="13"/>
      <c r="B100" s="2"/>
      <c r="C100" s="2" t="s">
        <v>16</v>
      </c>
      <c r="D100" s="3"/>
      <c r="E100" s="3"/>
    </row>
    <row r="101" spans="1:6">
      <c r="A101" s="13"/>
      <c r="B101" s="2"/>
      <c r="C101" s="2"/>
      <c r="D101" s="3" t="s">
        <v>11</v>
      </c>
      <c r="E101" s="3">
        <v>32</v>
      </c>
      <c r="F101">
        <f>PRODUCT(E101:E103)</f>
        <v>262144</v>
      </c>
    </row>
    <row r="102" spans="1:5">
      <c r="A102" s="13"/>
      <c r="B102" s="2"/>
      <c r="C102" s="2"/>
      <c r="D102" s="3" t="s">
        <v>12</v>
      </c>
      <c r="E102" s="3">
        <v>32</v>
      </c>
    </row>
    <row r="103" spans="1:5">
      <c r="A103" s="13"/>
      <c r="B103" s="2"/>
      <c r="C103" s="2"/>
      <c r="D103" s="3" t="s">
        <v>13</v>
      </c>
      <c r="E103" s="3">
        <v>256</v>
      </c>
    </row>
    <row r="104" spans="1:5">
      <c r="A104" s="13"/>
      <c r="B104" s="2"/>
      <c r="C104" s="3"/>
      <c r="D104" s="3"/>
      <c r="E104" s="3"/>
    </row>
    <row r="105" spans="1:5">
      <c r="A105" s="13"/>
      <c r="B105" s="2"/>
      <c r="C105" s="2" t="s">
        <v>4</v>
      </c>
      <c r="D105" s="3"/>
      <c r="E105" s="3"/>
    </row>
    <row r="106" spans="1:6">
      <c r="A106" s="13"/>
      <c r="B106" s="2"/>
      <c r="C106" s="2"/>
      <c r="D106" s="3" t="s">
        <v>5</v>
      </c>
      <c r="E106" s="3">
        <v>256</v>
      </c>
      <c r="F106">
        <f>2*PRODUCT(E106:E110)</f>
        <v>4718592</v>
      </c>
    </row>
    <row r="107" spans="1:5">
      <c r="A107" s="13"/>
      <c r="B107" s="2"/>
      <c r="C107" s="2"/>
      <c r="D107" s="3" t="s">
        <v>6</v>
      </c>
      <c r="E107" s="3">
        <v>3</v>
      </c>
    </row>
    <row r="108" spans="1:5">
      <c r="A108" s="13"/>
      <c r="B108" s="2"/>
      <c r="C108" s="2"/>
      <c r="D108" s="3" t="s">
        <v>7</v>
      </c>
      <c r="E108" s="3">
        <v>3</v>
      </c>
    </row>
    <row r="109" spans="1:5">
      <c r="A109" s="13"/>
      <c r="B109" s="2"/>
      <c r="C109" s="2"/>
      <c r="D109" s="3" t="s">
        <v>8</v>
      </c>
      <c r="E109" s="3">
        <v>32</v>
      </c>
    </row>
    <row r="110" spans="1:5">
      <c r="A110" s="13"/>
      <c r="B110" s="2"/>
      <c r="C110" s="2"/>
      <c r="D110" s="3" t="s">
        <v>9</v>
      </c>
      <c r="E110" s="3">
        <v>32</v>
      </c>
    </row>
    <row r="111" spans="1:5">
      <c r="A111" s="13"/>
      <c r="B111" s="2"/>
      <c r="C111" s="2" t="s">
        <v>10</v>
      </c>
      <c r="D111" s="3"/>
      <c r="E111" s="3"/>
    </row>
    <row r="112" spans="1:6">
      <c r="A112" s="13"/>
      <c r="B112" s="2"/>
      <c r="C112" s="2"/>
      <c r="D112" s="3" t="s">
        <v>11</v>
      </c>
      <c r="E112" s="3">
        <v>32</v>
      </c>
      <c r="F112">
        <f>2*PRODUCT(E112:E114)</f>
        <v>524288</v>
      </c>
    </row>
    <row r="113" spans="1:5">
      <c r="A113" s="13"/>
      <c r="B113" s="2"/>
      <c r="C113" s="2"/>
      <c r="D113" s="3" t="s">
        <v>12</v>
      </c>
      <c r="E113" s="3">
        <v>32</v>
      </c>
    </row>
    <row r="114" spans="1:5">
      <c r="A114" s="13"/>
      <c r="B114" s="2"/>
      <c r="C114" s="2"/>
      <c r="D114" s="3" t="s">
        <v>13</v>
      </c>
      <c r="E114" s="3">
        <v>256</v>
      </c>
    </row>
    <row r="115" spans="1:5">
      <c r="A115" s="13"/>
      <c r="B115" s="2"/>
      <c r="C115" s="2" t="s">
        <v>22</v>
      </c>
      <c r="D115" s="3"/>
      <c r="E115" s="3"/>
    </row>
    <row r="116" spans="1:6">
      <c r="A116" s="13"/>
      <c r="B116" s="2"/>
      <c r="C116" s="2"/>
      <c r="D116" s="3" t="s">
        <v>5</v>
      </c>
      <c r="E116" s="3">
        <v>256</v>
      </c>
      <c r="F116">
        <f>2*PRODUCT(E116:E119)</f>
        <v>134217728</v>
      </c>
    </row>
    <row r="117" spans="1:5">
      <c r="A117" s="13"/>
      <c r="B117" s="2"/>
      <c r="C117" s="2"/>
      <c r="D117" s="3" t="s">
        <v>15</v>
      </c>
      <c r="E117" s="3">
        <v>256</v>
      </c>
    </row>
    <row r="118" spans="1:5">
      <c r="A118" s="13"/>
      <c r="B118" s="2"/>
      <c r="C118" s="2"/>
      <c r="D118" s="3" t="s">
        <v>8</v>
      </c>
      <c r="E118" s="3">
        <v>32</v>
      </c>
    </row>
    <row r="119" spans="1:5">
      <c r="A119" s="13"/>
      <c r="B119" s="2"/>
      <c r="C119" s="2"/>
      <c r="D119" s="3" t="s">
        <v>9</v>
      </c>
      <c r="E119" s="3">
        <v>32</v>
      </c>
    </row>
    <row r="120" spans="1:5">
      <c r="A120" s="13"/>
      <c r="B120" s="2"/>
      <c r="C120" s="2" t="s">
        <v>16</v>
      </c>
      <c r="D120" s="3"/>
      <c r="E120" s="3"/>
    </row>
    <row r="121" spans="1:6">
      <c r="A121" s="13"/>
      <c r="B121" s="2"/>
      <c r="C121" s="2"/>
      <c r="D121" s="3" t="s">
        <v>11</v>
      </c>
      <c r="E121" s="3">
        <v>32</v>
      </c>
      <c r="F121">
        <f>PRODUCT(E121:E123)</f>
        <v>262144</v>
      </c>
    </row>
    <row r="122" spans="1:5">
      <c r="A122" s="13"/>
      <c r="B122" s="2"/>
      <c r="C122" s="2"/>
      <c r="D122" s="3" t="s">
        <v>12</v>
      </c>
      <c r="E122" s="3">
        <v>32</v>
      </c>
    </row>
    <row r="123" spans="1:5">
      <c r="A123" s="13"/>
      <c r="B123" s="2"/>
      <c r="C123" s="2"/>
      <c r="D123" s="3" t="s">
        <v>13</v>
      </c>
      <c r="E123" s="3">
        <v>256</v>
      </c>
    </row>
    <row r="124" spans="1:6">
      <c r="A124" s="13"/>
      <c r="B124" s="2"/>
      <c r="C124" s="15"/>
      <c r="F124" s="4">
        <f>SUM(F86,F92,F96,F101,F106,F112,F116,F121)</f>
        <v>209715200</v>
      </c>
    </row>
    <row r="125" spans="1:5">
      <c r="A125" s="13"/>
      <c r="B125" s="2" t="s">
        <v>23</v>
      </c>
      <c r="C125" s="3" t="s">
        <v>24</v>
      </c>
      <c r="D125" s="3"/>
      <c r="E125" s="3"/>
    </row>
    <row r="126" spans="1:5">
      <c r="A126" s="13"/>
      <c r="B126" s="2"/>
      <c r="C126" s="2" t="s">
        <v>4</v>
      </c>
      <c r="D126" s="3"/>
      <c r="E126" s="3"/>
    </row>
    <row r="127" spans="1:6">
      <c r="A127" s="13"/>
      <c r="B127" s="2"/>
      <c r="C127" s="2"/>
      <c r="D127" s="3" t="s">
        <v>5</v>
      </c>
      <c r="E127" s="3">
        <v>256</v>
      </c>
      <c r="F127">
        <f>2*PRODUCT(E127:E131)</f>
        <v>1179648</v>
      </c>
    </row>
    <row r="128" spans="1:5">
      <c r="A128" s="13"/>
      <c r="B128" s="2"/>
      <c r="C128" s="2"/>
      <c r="D128" s="3" t="s">
        <v>6</v>
      </c>
      <c r="E128" s="3">
        <v>3</v>
      </c>
    </row>
    <row r="129" spans="1:5">
      <c r="A129" s="13"/>
      <c r="B129" s="2"/>
      <c r="C129" s="2"/>
      <c r="D129" s="3" t="s">
        <v>7</v>
      </c>
      <c r="E129" s="3">
        <v>3</v>
      </c>
    </row>
    <row r="130" spans="1:5">
      <c r="A130" s="13"/>
      <c r="B130" s="2"/>
      <c r="C130" s="2"/>
      <c r="D130" s="3" t="s">
        <v>8</v>
      </c>
      <c r="E130" s="3">
        <v>16</v>
      </c>
    </row>
    <row r="131" spans="1:5">
      <c r="A131" s="13"/>
      <c r="B131" s="2"/>
      <c r="C131" s="2"/>
      <c r="D131" s="3" t="s">
        <v>9</v>
      </c>
      <c r="E131" s="3">
        <v>16</v>
      </c>
    </row>
    <row r="132" spans="1:5">
      <c r="A132" s="13"/>
      <c r="B132" s="2"/>
      <c r="C132" s="2" t="s">
        <v>10</v>
      </c>
      <c r="D132" s="3"/>
      <c r="E132" s="3"/>
    </row>
    <row r="133" spans="1:6">
      <c r="A133" s="13"/>
      <c r="B133" s="2"/>
      <c r="C133" s="2"/>
      <c r="D133" s="3" t="s">
        <v>11</v>
      </c>
      <c r="E133" s="3">
        <v>16</v>
      </c>
      <c r="F133">
        <f>2*PRODUCT(E133:E135)</f>
        <v>131072</v>
      </c>
    </row>
    <row r="134" spans="1:5">
      <c r="A134" s="13"/>
      <c r="B134" s="2"/>
      <c r="C134" s="2"/>
      <c r="D134" s="3" t="s">
        <v>12</v>
      </c>
      <c r="E134" s="3">
        <v>16</v>
      </c>
    </row>
    <row r="135" spans="1:5">
      <c r="A135" s="13"/>
      <c r="B135" s="2"/>
      <c r="C135" s="2"/>
      <c r="D135" s="3" t="s">
        <v>13</v>
      </c>
      <c r="E135" s="3">
        <v>256</v>
      </c>
    </row>
    <row r="136" spans="1:5">
      <c r="A136" s="13"/>
      <c r="B136" s="2"/>
      <c r="C136" s="2" t="s">
        <v>25</v>
      </c>
      <c r="D136" s="3"/>
      <c r="E136" s="3"/>
    </row>
    <row r="137" spans="1:6">
      <c r="A137" s="13"/>
      <c r="B137" s="2"/>
      <c r="C137" s="2"/>
      <c r="D137" s="3" t="s">
        <v>5</v>
      </c>
      <c r="E137" s="3">
        <v>256</v>
      </c>
      <c r="F137">
        <f>2*PRODUCT(E137:E140)</f>
        <v>67108864</v>
      </c>
    </row>
    <row r="138" spans="1:5">
      <c r="A138" s="13"/>
      <c r="B138" s="2"/>
      <c r="C138" s="2"/>
      <c r="D138" s="3" t="s">
        <v>15</v>
      </c>
      <c r="E138" s="3">
        <v>512</v>
      </c>
    </row>
    <row r="139" spans="1:5">
      <c r="A139" s="13"/>
      <c r="B139" s="2"/>
      <c r="C139" s="2"/>
      <c r="D139" s="3" t="s">
        <v>8</v>
      </c>
      <c r="E139" s="3">
        <v>16</v>
      </c>
    </row>
    <row r="140" spans="1:5">
      <c r="A140" s="13"/>
      <c r="B140" s="2"/>
      <c r="C140" s="2"/>
      <c r="D140" s="3" t="s">
        <v>9</v>
      </c>
      <c r="E140" s="3">
        <v>16</v>
      </c>
    </row>
    <row r="141" spans="1:5">
      <c r="A141" s="13"/>
      <c r="B141" s="2"/>
      <c r="C141" s="2" t="s">
        <v>16</v>
      </c>
      <c r="D141" s="3"/>
      <c r="E141" s="3"/>
    </row>
    <row r="142" spans="1:6">
      <c r="A142" s="13"/>
      <c r="B142" s="2"/>
      <c r="C142" s="2"/>
      <c r="D142" s="3" t="s">
        <v>11</v>
      </c>
      <c r="E142" s="3">
        <v>16</v>
      </c>
      <c r="F142">
        <f>PRODUCT(E142:E144)</f>
        <v>131072</v>
      </c>
    </row>
    <row r="143" spans="1:5">
      <c r="A143" s="13"/>
      <c r="B143" s="2"/>
      <c r="C143" s="2"/>
      <c r="D143" s="3" t="s">
        <v>12</v>
      </c>
      <c r="E143" s="3">
        <v>16</v>
      </c>
    </row>
    <row r="144" spans="1:5">
      <c r="A144" s="13"/>
      <c r="B144" s="2"/>
      <c r="C144" s="2"/>
      <c r="D144" s="3" t="s">
        <v>13</v>
      </c>
      <c r="E144" s="3">
        <v>512</v>
      </c>
    </row>
    <row r="145" spans="1:5">
      <c r="A145" s="13"/>
      <c r="B145" s="2"/>
      <c r="C145" s="3"/>
      <c r="D145" s="3"/>
      <c r="E145" s="3"/>
    </row>
    <row r="146" spans="1:5">
      <c r="A146" s="13"/>
      <c r="B146" s="2"/>
      <c r="C146" s="2" t="s">
        <v>4</v>
      </c>
      <c r="D146" s="3"/>
      <c r="E146" s="3"/>
    </row>
    <row r="147" spans="1:6">
      <c r="A147" s="13"/>
      <c r="B147" s="2"/>
      <c r="C147" s="2"/>
      <c r="D147" s="3" t="s">
        <v>5</v>
      </c>
      <c r="E147" s="3">
        <v>512</v>
      </c>
      <c r="F147">
        <f>2*PRODUCT(E147:E151)</f>
        <v>2359296</v>
      </c>
    </row>
    <row r="148" spans="1:5">
      <c r="A148" s="13"/>
      <c r="B148" s="2"/>
      <c r="C148" s="2"/>
      <c r="D148" s="3" t="s">
        <v>6</v>
      </c>
      <c r="E148" s="3">
        <v>3</v>
      </c>
    </row>
    <row r="149" spans="1:5">
      <c r="A149" s="13"/>
      <c r="B149" s="2"/>
      <c r="C149" s="2"/>
      <c r="D149" s="3" t="s">
        <v>7</v>
      </c>
      <c r="E149" s="3">
        <v>3</v>
      </c>
    </row>
    <row r="150" spans="1:5">
      <c r="A150" s="13"/>
      <c r="B150" s="2"/>
      <c r="C150" s="2"/>
      <c r="D150" s="3" t="s">
        <v>8</v>
      </c>
      <c r="E150" s="3">
        <v>16</v>
      </c>
    </row>
    <row r="151" spans="1:5">
      <c r="A151" s="13"/>
      <c r="B151" s="2"/>
      <c r="C151" s="2"/>
      <c r="D151" s="3" t="s">
        <v>9</v>
      </c>
      <c r="E151" s="3">
        <v>16</v>
      </c>
    </row>
    <row r="152" spans="1:5">
      <c r="A152" s="13"/>
      <c r="B152" s="2"/>
      <c r="C152" s="2" t="s">
        <v>10</v>
      </c>
      <c r="D152" s="3"/>
      <c r="E152" s="3"/>
    </row>
    <row r="153" spans="1:6">
      <c r="A153" s="13"/>
      <c r="B153" s="2"/>
      <c r="C153" s="2"/>
      <c r="D153" s="3" t="s">
        <v>11</v>
      </c>
      <c r="E153" s="3">
        <v>16</v>
      </c>
      <c r="F153">
        <f>2*PRODUCT(E153:E155)</f>
        <v>262144</v>
      </c>
    </row>
    <row r="154" spans="1:5">
      <c r="A154" s="13"/>
      <c r="B154" s="2"/>
      <c r="C154" s="2"/>
      <c r="D154" s="3" t="s">
        <v>12</v>
      </c>
      <c r="E154" s="3">
        <v>16</v>
      </c>
    </row>
    <row r="155" spans="1:5">
      <c r="A155" s="13"/>
      <c r="B155" s="2"/>
      <c r="C155" s="2"/>
      <c r="D155" s="3" t="s">
        <v>13</v>
      </c>
      <c r="E155" s="3">
        <v>512</v>
      </c>
    </row>
    <row r="156" spans="1:5">
      <c r="A156" s="13"/>
      <c r="B156" s="2"/>
      <c r="C156" s="2" t="s">
        <v>25</v>
      </c>
      <c r="D156" s="3"/>
      <c r="E156" s="3"/>
    </row>
    <row r="157" spans="1:6">
      <c r="A157" s="13"/>
      <c r="B157" s="2"/>
      <c r="C157" s="2"/>
      <c r="D157" s="3" t="s">
        <v>5</v>
      </c>
      <c r="E157" s="3">
        <v>512</v>
      </c>
      <c r="F157">
        <f>2*PRODUCT(E157:E160)</f>
        <v>134217728</v>
      </c>
    </row>
    <row r="158" spans="1:5">
      <c r="A158" s="13"/>
      <c r="B158" s="2"/>
      <c r="C158" s="2"/>
      <c r="D158" s="3" t="s">
        <v>15</v>
      </c>
      <c r="E158" s="3">
        <v>512</v>
      </c>
    </row>
    <row r="159" spans="1:5">
      <c r="A159" s="13"/>
      <c r="B159" s="2"/>
      <c r="C159" s="2"/>
      <c r="D159" s="3" t="s">
        <v>8</v>
      </c>
      <c r="E159" s="3">
        <v>16</v>
      </c>
    </row>
    <row r="160" spans="1:5">
      <c r="A160" s="13"/>
      <c r="B160" s="2"/>
      <c r="C160" s="2"/>
      <c r="D160" s="3" t="s">
        <v>9</v>
      </c>
      <c r="E160" s="3">
        <v>16</v>
      </c>
    </row>
    <row r="161" spans="1:5">
      <c r="A161" s="13"/>
      <c r="B161" s="2"/>
      <c r="C161" s="2" t="s">
        <v>16</v>
      </c>
      <c r="D161" s="3"/>
      <c r="E161" s="3"/>
    </row>
    <row r="162" spans="1:6">
      <c r="A162" s="13"/>
      <c r="B162" s="2"/>
      <c r="C162" s="2"/>
      <c r="D162" s="3" t="s">
        <v>11</v>
      </c>
      <c r="E162" s="3">
        <v>16</v>
      </c>
      <c r="F162">
        <f>PRODUCT(E162:E164)</f>
        <v>131072</v>
      </c>
    </row>
    <row r="163" spans="1:5">
      <c r="A163" s="13"/>
      <c r="B163" s="2"/>
      <c r="C163" s="2"/>
      <c r="D163" s="3" t="s">
        <v>12</v>
      </c>
      <c r="E163" s="3">
        <v>16</v>
      </c>
    </row>
    <row r="164" spans="1:5">
      <c r="A164" s="13"/>
      <c r="B164" s="2"/>
      <c r="C164" s="2"/>
      <c r="D164" s="3" t="s">
        <v>13</v>
      </c>
      <c r="E164" s="3">
        <v>512</v>
      </c>
    </row>
    <row r="165" spans="1:6">
      <c r="A165" s="13"/>
      <c r="B165" s="2"/>
      <c r="C165" s="15"/>
      <c r="F165" s="4">
        <f>SUM(F127,F133,F137,F142,F147,F153,F157,F162)</f>
        <v>205520896</v>
      </c>
    </row>
    <row r="166" spans="1:5">
      <c r="A166" s="13"/>
      <c r="B166" s="2" t="s">
        <v>26</v>
      </c>
      <c r="C166" s="3" t="s">
        <v>27</v>
      </c>
      <c r="D166" s="3"/>
      <c r="E166" s="3"/>
    </row>
    <row r="167" spans="1:5">
      <c r="A167" s="13"/>
      <c r="B167" s="2"/>
      <c r="C167" s="2" t="s">
        <v>4</v>
      </c>
      <c r="D167" s="3"/>
      <c r="E167" s="3"/>
    </row>
    <row r="168" spans="1:6">
      <c r="A168" s="13"/>
      <c r="B168" s="2"/>
      <c r="C168" s="2"/>
      <c r="D168" s="3" t="s">
        <v>5</v>
      </c>
      <c r="E168" s="3">
        <v>512</v>
      </c>
      <c r="F168">
        <f>2*PRODUCT(E168:E172)</f>
        <v>589824</v>
      </c>
    </row>
    <row r="169" spans="1:5">
      <c r="A169" s="13"/>
      <c r="B169" s="2"/>
      <c r="C169" s="2"/>
      <c r="D169" s="3" t="s">
        <v>6</v>
      </c>
      <c r="E169" s="3">
        <v>3</v>
      </c>
    </row>
    <row r="170" spans="1:5">
      <c r="A170" s="13"/>
      <c r="B170" s="2"/>
      <c r="C170" s="2"/>
      <c r="D170" s="3" t="s">
        <v>7</v>
      </c>
      <c r="E170" s="3">
        <v>3</v>
      </c>
    </row>
    <row r="171" spans="1:5">
      <c r="A171" s="13"/>
      <c r="B171" s="2"/>
      <c r="C171" s="2"/>
      <c r="D171" s="3" t="s">
        <v>8</v>
      </c>
      <c r="E171" s="3">
        <v>8</v>
      </c>
    </row>
    <row r="172" spans="1:5">
      <c r="A172" s="13"/>
      <c r="B172" s="2"/>
      <c r="C172" s="2"/>
      <c r="D172" s="3" t="s">
        <v>9</v>
      </c>
      <c r="E172" s="3">
        <v>8</v>
      </c>
    </row>
    <row r="173" spans="1:5">
      <c r="A173" s="13"/>
      <c r="B173" s="2"/>
      <c r="C173" s="2" t="s">
        <v>10</v>
      </c>
      <c r="D173" s="3"/>
      <c r="E173" s="3"/>
    </row>
    <row r="174" spans="1:6">
      <c r="A174" s="13"/>
      <c r="B174" s="2"/>
      <c r="C174" s="2"/>
      <c r="D174" s="3" t="s">
        <v>11</v>
      </c>
      <c r="E174" s="3">
        <v>8</v>
      </c>
      <c r="F174">
        <f>2*PRODUCT(E174:E176)</f>
        <v>65536</v>
      </c>
    </row>
    <row r="175" spans="1:5">
      <c r="A175" s="13"/>
      <c r="B175" s="2"/>
      <c r="C175" s="2"/>
      <c r="D175" s="3" t="s">
        <v>12</v>
      </c>
      <c r="E175" s="3">
        <v>8</v>
      </c>
    </row>
    <row r="176" spans="1:5">
      <c r="A176" s="13"/>
      <c r="B176" s="2"/>
      <c r="C176" s="2"/>
      <c r="D176" s="3" t="s">
        <v>13</v>
      </c>
      <c r="E176" s="3">
        <v>512</v>
      </c>
    </row>
    <row r="177" spans="1:5">
      <c r="A177" s="13"/>
      <c r="B177" s="2"/>
      <c r="C177" s="2" t="s">
        <v>28</v>
      </c>
      <c r="D177" s="3"/>
      <c r="E177" s="3"/>
    </row>
    <row r="178" spans="1:6">
      <c r="A178" s="13"/>
      <c r="B178" s="2"/>
      <c r="C178" s="2"/>
      <c r="D178" s="3" t="s">
        <v>5</v>
      </c>
      <c r="E178" s="3">
        <v>512</v>
      </c>
      <c r="F178">
        <f>2*PRODUCT(E178:E181)</f>
        <v>67108864</v>
      </c>
    </row>
    <row r="179" spans="1:5">
      <c r="A179" s="13"/>
      <c r="B179" s="2"/>
      <c r="C179" s="2"/>
      <c r="D179" s="3" t="s">
        <v>15</v>
      </c>
      <c r="E179" s="3">
        <v>1024</v>
      </c>
    </row>
    <row r="180" spans="1:5">
      <c r="A180" s="13"/>
      <c r="B180" s="2"/>
      <c r="C180" s="2"/>
      <c r="D180" s="3" t="s">
        <v>8</v>
      </c>
      <c r="E180" s="3">
        <v>8</v>
      </c>
    </row>
    <row r="181" spans="1:5">
      <c r="A181" s="13"/>
      <c r="B181" s="2"/>
      <c r="C181" s="2"/>
      <c r="D181" s="3" t="s">
        <v>9</v>
      </c>
      <c r="E181" s="3">
        <v>8</v>
      </c>
    </row>
    <row r="182" spans="1:5">
      <c r="A182" s="13"/>
      <c r="B182" s="2"/>
      <c r="C182" s="2" t="s">
        <v>16</v>
      </c>
      <c r="D182" s="3"/>
      <c r="E182" s="3"/>
    </row>
    <row r="183" spans="1:6">
      <c r="A183" s="13"/>
      <c r="B183" s="2"/>
      <c r="C183" s="2"/>
      <c r="D183" s="3" t="s">
        <v>11</v>
      </c>
      <c r="E183" s="3">
        <v>8</v>
      </c>
      <c r="F183">
        <f>PRODUCT(E183:E185)</f>
        <v>65536</v>
      </c>
    </row>
    <row r="184" spans="1:5">
      <c r="A184" s="13"/>
      <c r="B184" s="2"/>
      <c r="C184" s="2"/>
      <c r="D184" s="3" t="s">
        <v>12</v>
      </c>
      <c r="E184" s="3">
        <v>8</v>
      </c>
    </row>
    <row r="185" spans="1:5">
      <c r="A185" s="13"/>
      <c r="B185" s="2"/>
      <c r="C185" s="2"/>
      <c r="D185" s="3" t="s">
        <v>13</v>
      </c>
      <c r="E185" s="3">
        <v>1024</v>
      </c>
    </row>
    <row r="186" spans="1:5">
      <c r="A186" s="13"/>
      <c r="B186" s="2"/>
      <c r="C186" s="3"/>
      <c r="D186" s="3"/>
      <c r="E186" s="3"/>
    </row>
    <row r="187" spans="1:5">
      <c r="A187" s="13"/>
      <c r="B187" s="2"/>
      <c r="C187" s="2" t="s">
        <v>4</v>
      </c>
      <c r="D187" s="3"/>
      <c r="E187" s="3"/>
    </row>
    <row r="188" spans="1:6">
      <c r="A188" s="13"/>
      <c r="B188" s="2"/>
      <c r="C188" s="2"/>
      <c r="D188" s="3" t="s">
        <v>5</v>
      </c>
      <c r="E188" s="3">
        <v>1024</v>
      </c>
      <c r="F188">
        <f>2*PRODUCT(E188:E192)</f>
        <v>1179648</v>
      </c>
    </row>
    <row r="189" spans="1:5">
      <c r="A189" s="13"/>
      <c r="B189" s="2"/>
      <c r="C189" s="2"/>
      <c r="D189" s="3" t="s">
        <v>6</v>
      </c>
      <c r="E189" s="3">
        <v>3</v>
      </c>
    </row>
    <row r="190" spans="1:5">
      <c r="A190" s="13"/>
      <c r="B190" s="2"/>
      <c r="C190" s="2"/>
      <c r="D190" s="3" t="s">
        <v>7</v>
      </c>
      <c r="E190" s="3">
        <v>3</v>
      </c>
    </row>
    <row r="191" spans="1:5">
      <c r="A191" s="13"/>
      <c r="B191" s="2"/>
      <c r="C191" s="2"/>
      <c r="D191" s="3" t="s">
        <v>8</v>
      </c>
      <c r="E191" s="3">
        <v>8</v>
      </c>
    </row>
    <row r="192" spans="1:5">
      <c r="A192" s="13"/>
      <c r="B192" s="2"/>
      <c r="C192" s="2"/>
      <c r="D192" s="3" t="s">
        <v>9</v>
      </c>
      <c r="E192" s="3">
        <v>8</v>
      </c>
    </row>
    <row r="193" spans="1:5">
      <c r="A193" s="13"/>
      <c r="B193" s="2"/>
      <c r="C193" s="2" t="s">
        <v>10</v>
      </c>
      <c r="D193" s="3"/>
      <c r="E193" s="3"/>
    </row>
    <row r="194" spans="1:6">
      <c r="A194" s="13"/>
      <c r="B194" s="2"/>
      <c r="C194" s="2"/>
      <c r="D194" s="3" t="s">
        <v>11</v>
      </c>
      <c r="E194" s="3">
        <v>8</v>
      </c>
      <c r="F194">
        <f>2*PRODUCT(E194:E196)</f>
        <v>131072</v>
      </c>
    </row>
    <row r="195" spans="1:5">
      <c r="A195" s="13"/>
      <c r="B195" s="2"/>
      <c r="C195" s="2"/>
      <c r="D195" s="3" t="s">
        <v>12</v>
      </c>
      <c r="E195" s="3">
        <v>8</v>
      </c>
    </row>
    <row r="196" spans="1:5">
      <c r="A196" s="13"/>
      <c r="B196" s="2"/>
      <c r="C196" s="2"/>
      <c r="D196" s="3" t="s">
        <v>13</v>
      </c>
      <c r="E196" s="3">
        <v>1024</v>
      </c>
    </row>
    <row r="197" spans="1:5">
      <c r="A197" s="13"/>
      <c r="B197" s="2"/>
      <c r="C197" s="2" t="s">
        <v>28</v>
      </c>
      <c r="D197" s="3"/>
      <c r="E197" s="3"/>
    </row>
    <row r="198" spans="1:9">
      <c r="A198" s="13"/>
      <c r="B198" s="2"/>
      <c r="C198" s="2"/>
      <c r="D198" s="3" t="s">
        <v>5</v>
      </c>
      <c r="E198" s="3">
        <v>1024</v>
      </c>
      <c r="F198">
        <f>2*PRODUCT(E198:E201)</f>
        <v>134217728</v>
      </c>
      <c r="I198" s="3"/>
    </row>
    <row r="199" spans="1:5">
      <c r="A199" s="13"/>
      <c r="B199" s="2"/>
      <c r="C199" s="2"/>
      <c r="D199" s="3" t="s">
        <v>15</v>
      </c>
      <c r="E199" s="3">
        <v>1024</v>
      </c>
    </row>
    <row r="200" spans="1:5">
      <c r="A200" s="13"/>
      <c r="B200" s="2"/>
      <c r="C200" s="2"/>
      <c r="D200" s="3" t="s">
        <v>8</v>
      </c>
      <c r="E200" s="3">
        <v>8</v>
      </c>
    </row>
    <row r="201" spans="1:5">
      <c r="A201" s="13"/>
      <c r="B201" s="2"/>
      <c r="C201" s="2"/>
      <c r="D201" s="3" t="s">
        <v>9</v>
      </c>
      <c r="E201" s="3">
        <v>8</v>
      </c>
    </row>
    <row r="202" spans="1:5">
      <c r="A202" s="13"/>
      <c r="B202" s="2"/>
      <c r="C202" s="2" t="s">
        <v>16</v>
      </c>
      <c r="D202" s="3"/>
      <c r="E202" s="3"/>
    </row>
    <row r="203" spans="1:6">
      <c r="A203" s="13"/>
      <c r="B203" s="2"/>
      <c r="C203" s="2"/>
      <c r="D203" s="3" t="s">
        <v>11</v>
      </c>
      <c r="E203" s="3">
        <v>8</v>
      </c>
      <c r="F203">
        <f>PRODUCT(E203:E205)</f>
        <v>65536</v>
      </c>
    </row>
    <row r="204" spans="1:5">
      <c r="A204" s="13"/>
      <c r="B204" s="2"/>
      <c r="C204" s="2"/>
      <c r="D204" s="3" t="s">
        <v>12</v>
      </c>
      <c r="E204" s="3">
        <v>8</v>
      </c>
    </row>
    <row r="205" spans="1:5">
      <c r="A205" s="13"/>
      <c r="B205" s="2"/>
      <c r="C205" s="2"/>
      <c r="D205" s="3" t="s">
        <v>13</v>
      </c>
      <c r="E205" s="3">
        <v>1024</v>
      </c>
    </row>
    <row r="206" spans="1:6">
      <c r="A206" s="13"/>
      <c r="B206" s="2"/>
      <c r="C206" s="15"/>
      <c r="F206" s="4">
        <f>SUM(F168,F174,F178,F183,F188,F194,F198,F203)</f>
        <v>203423744</v>
      </c>
    </row>
    <row r="211" spans="1:1">
      <c r="A211" s="1" t="s">
        <v>29</v>
      </c>
    </row>
    <row r="212" spans="1:5">
      <c r="A212" s="1"/>
      <c r="B212" s="2" t="s">
        <v>23</v>
      </c>
      <c r="C212" s="3" t="s">
        <v>24</v>
      </c>
      <c r="D212" s="3"/>
      <c r="E212" s="3"/>
    </row>
    <row r="213" spans="1:5">
      <c r="A213" s="1"/>
      <c r="B213" s="2"/>
      <c r="C213" s="2" t="s">
        <v>4</v>
      </c>
      <c r="D213" s="3"/>
      <c r="E213" s="3"/>
    </row>
    <row r="214" spans="1:6">
      <c r="A214" s="1"/>
      <c r="B214" s="2"/>
      <c r="C214" s="2"/>
      <c r="D214" s="3" t="s">
        <v>5</v>
      </c>
      <c r="E214" s="3">
        <v>1536</v>
      </c>
      <c r="F214">
        <f>2*PRODUCT(E214:E218)</f>
        <v>7077888</v>
      </c>
    </row>
    <row r="215" spans="1:5">
      <c r="A215" s="1"/>
      <c r="B215" s="2"/>
      <c r="C215" s="2"/>
      <c r="D215" s="3" t="s">
        <v>6</v>
      </c>
      <c r="E215" s="3">
        <v>3</v>
      </c>
    </row>
    <row r="216" spans="1:5">
      <c r="A216" s="1"/>
      <c r="B216" s="2"/>
      <c r="C216" s="2"/>
      <c r="D216" s="3" t="s">
        <v>7</v>
      </c>
      <c r="E216" s="3">
        <v>3</v>
      </c>
    </row>
    <row r="217" spans="1:5">
      <c r="A217" s="1"/>
      <c r="B217" s="2"/>
      <c r="C217" s="2"/>
      <c r="D217" s="3" t="s">
        <v>8</v>
      </c>
      <c r="E217" s="3">
        <v>16</v>
      </c>
    </row>
    <row r="218" spans="1:5">
      <c r="A218" s="1"/>
      <c r="B218" s="2"/>
      <c r="C218" s="2"/>
      <c r="D218" s="3" t="s">
        <v>9</v>
      </c>
      <c r="E218" s="3">
        <v>16</v>
      </c>
    </row>
    <row r="219" spans="1:5">
      <c r="A219" s="1"/>
      <c r="B219" s="2"/>
      <c r="C219" s="2" t="s">
        <v>10</v>
      </c>
      <c r="D219" s="3"/>
      <c r="E219" s="3"/>
    </row>
    <row r="220" spans="1:6">
      <c r="A220" s="1"/>
      <c r="B220" s="2"/>
      <c r="C220" s="2"/>
      <c r="D220" s="3" t="s">
        <v>11</v>
      </c>
      <c r="E220" s="3">
        <v>16</v>
      </c>
      <c r="F220">
        <f>2*PRODUCT(E220:E222)</f>
        <v>786432</v>
      </c>
    </row>
    <row r="221" spans="1:5">
      <c r="A221" s="1"/>
      <c r="B221" s="2"/>
      <c r="C221" s="2"/>
      <c r="D221" s="3" t="s">
        <v>12</v>
      </c>
      <c r="E221" s="3">
        <v>16</v>
      </c>
    </row>
    <row r="222" spans="1:5">
      <c r="A222" s="1"/>
      <c r="B222" s="2"/>
      <c r="C222" s="2"/>
      <c r="D222" s="3" t="s">
        <v>13</v>
      </c>
      <c r="E222" s="3">
        <v>1536</v>
      </c>
    </row>
    <row r="223" spans="1:5">
      <c r="A223" s="1"/>
      <c r="B223" s="2"/>
      <c r="C223" s="2" t="s">
        <v>25</v>
      </c>
      <c r="D223" s="3"/>
      <c r="E223" s="3"/>
    </row>
    <row r="224" spans="1:6">
      <c r="A224" s="1"/>
      <c r="B224" s="2"/>
      <c r="C224" s="2"/>
      <c r="D224" s="3" t="s">
        <v>5</v>
      </c>
      <c r="E224" s="3">
        <v>1536</v>
      </c>
      <c r="F224">
        <f>2*PRODUCT(E224:E227)</f>
        <v>402653184</v>
      </c>
    </row>
    <row r="225" spans="1:5">
      <c r="A225" s="1"/>
      <c r="B225" s="2"/>
      <c r="C225" s="2"/>
      <c r="D225" s="3" t="s">
        <v>15</v>
      </c>
      <c r="E225" s="3">
        <v>512</v>
      </c>
    </row>
    <row r="226" spans="1:5">
      <c r="A226" s="1"/>
      <c r="B226" s="2"/>
      <c r="C226" s="2"/>
      <c r="D226" s="3" t="s">
        <v>8</v>
      </c>
      <c r="E226" s="3">
        <v>16</v>
      </c>
    </row>
    <row r="227" spans="1:5">
      <c r="A227" s="1"/>
      <c r="B227" s="2"/>
      <c r="C227" s="2"/>
      <c r="D227" s="3" t="s">
        <v>9</v>
      </c>
      <c r="E227" s="3">
        <v>16</v>
      </c>
    </row>
    <row r="228" spans="1:5">
      <c r="A228" s="1"/>
      <c r="B228" s="2"/>
      <c r="C228" s="2" t="s">
        <v>16</v>
      </c>
      <c r="D228" s="3"/>
      <c r="E228" s="3"/>
    </row>
    <row r="229" spans="1:6">
      <c r="A229" s="1"/>
      <c r="B229" s="2"/>
      <c r="C229" s="2"/>
      <c r="D229" s="3" t="s">
        <v>11</v>
      </c>
      <c r="E229" s="3">
        <v>16</v>
      </c>
      <c r="F229">
        <f>PRODUCT(E229:E231)</f>
        <v>131072</v>
      </c>
    </row>
    <row r="230" spans="1:5">
      <c r="A230" s="1"/>
      <c r="B230" s="2"/>
      <c r="C230" s="2"/>
      <c r="D230" s="3" t="s">
        <v>12</v>
      </c>
      <c r="E230" s="3">
        <v>16</v>
      </c>
    </row>
    <row r="231" spans="1:5">
      <c r="A231" s="1"/>
      <c r="B231" s="2"/>
      <c r="C231" s="2"/>
      <c r="D231" s="3" t="s">
        <v>13</v>
      </c>
      <c r="E231" s="3">
        <v>512</v>
      </c>
    </row>
    <row r="232" spans="1:5">
      <c r="A232" s="1"/>
      <c r="B232" s="2"/>
      <c r="C232" s="3"/>
      <c r="D232" s="3"/>
      <c r="E232" s="3"/>
    </row>
    <row r="233" spans="1:5">
      <c r="A233" s="1"/>
      <c r="B233" s="2"/>
      <c r="C233" s="2" t="s">
        <v>4</v>
      </c>
      <c r="D233" s="3"/>
      <c r="E233" s="3"/>
    </row>
    <row r="234" spans="1:6">
      <c r="A234" s="1"/>
      <c r="B234" s="2"/>
      <c r="C234" s="2"/>
      <c r="D234" s="3" t="s">
        <v>5</v>
      </c>
      <c r="E234" s="3">
        <v>512</v>
      </c>
      <c r="F234">
        <f>2*PRODUCT(E234:E238)</f>
        <v>2359296</v>
      </c>
    </row>
    <row r="235" spans="1:5">
      <c r="A235" s="1"/>
      <c r="B235" s="2"/>
      <c r="C235" s="2"/>
      <c r="D235" s="3" t="s">
        <v>6</v>
      </c>
      <c r="E235" s="3">
        <v>3</v>
      </c>
    </row>
    <row r="236" spans="1:5">
      <c r="A236" s="1"/>
      <c r="B236" s="2"/>
      <c r="C236" s="2"/>
      <c r="D236" s="3" t="s">
        <v>7</v>
      </c>
      <c r="E236" s="3">
        <v>3</v>
      </c>
    </row>
    <row r="237" spans="1:5">
      <c r="A237" s="1"/>
      <c r="B237" s="2"/>
      <c r="C237" s="2"/>
      <c r="D237" s="3" t="s">
        <v>8</v>
      </c>
      <c r="E237" s="3">
        <v>16</v>
      </c>
    </row>
    <row r="238" spans="1:5">
      <c r="A238" s="1"/>
      <c r="B238" s="2"/>
      <c r="C238" s="2"/>
      <c r="D238" s="3" t="s">
        <v>9</v>
      </c>
      <c r="E238" s="3">
        <v>16</v>
      </c>
    </row>
    <row r="239" spans="1:5">
      <c r="A239" s="1"/>
      <c r="B239" s="2"/>
      <c r="C239" s="2" t="s">
        <v>10</v>
      </c>
      <c r="D239" s="3"/>
      <c r="E239" s="3"/>
    </row>
    <row r="240" spans="1:6">
      <c r="A240" s="1"/>
      <c r="B240" s="2"/>
      <c r="C240" s="2"/>
      <c r="D240" s="3" t="s">
        <v>11</v>
      </c>
      <c r="E240" s="3">
        <v>16</v>
      </c>
      <c r="F240">
        <f>2*PRODUCT(E240:E242)</f>
        <v>262144</v>
      </c>
    </row>
    <row r="241" spans="1:5">
      <c r="A241" s="1"/>
      <c r="B241" s="2"/>
      <c r="C241" s="2"/>
      <c r="D241" s="3" t="s">
        <v>12</v>
      </c>
      <c r="E241" s="3">
        <v>16</v>
      </c>
    </row>
    <row r="242" spans="1:5">
      <c r="A242" s="1"/>
      <c r="B242" s="2"/>
      <c r="C242" s="2"/>
      <c r="D242" s="3" t="s">
        <v>13</v>
      </c>
      <c r="E242" s="3">
        <v>512</v>
      </c>
    </row>
    <row r="243" spans="1:5">
      <c r="A243" s="1"/>
      <c r="B243" s="2"/>
      <c r="C243" s="2" t="s">
        <v>25</v>
      </c>
      <c r="D243" s="3"/>
      <c r="E243" s="3"/>
    </row>
    <row r="244" spans="1:6">
      <c r="A244" s="1"/>
      <c r="B244" s="2"/>
      <c r="C244" s="2"/>
      <c r="D244" s="3" t="s">
        <v>5</v>
      </c>
      <c r="E244" s="3">
        <v>512</v>
      </c>
      <c r="F244">
        <f>2*PRODUCT(E244:E247)</f>
        <v>134217728</v>
      </c>
    </row>
    <row r="245" spans="1:5">
      <c r="A245" s="1"/>
      <c r="B245" s="2"/>
      <c r="C245" s="2"/>
      <c r="D245" s="3" t="s">
        <v>15</v>
      </c>
      <c r="E245" s="3">
        <v>512</v>
      </c>
    </row>
    <row r="246" spans="1:5">
      <c r="A246" s="1"/>
      <c r="B246" s="2"/>
      <c r="C246" s="2"/>
      <c r="D246" s="3" t="s">
        <v>8</v>
      </c>
      <c r="E246" s="3">
        <v>16</v>
      </c>
    </row>
    <row r="247" spans="1:5">
      <c r="A247" s="1"/>
      <c r="B247" s="2"/>
      <c r="C247" s="2"/>
      <c r="D247" s="3" t="s">
        <v>9</v>
      </c>
      <c r="E247" s="3">
        <v>16</v>
      </c>
    </row>
    <row r="248" spans="1:5">
      <c r="A248" s="1"/>
      <c r="B248" s="2"/>
      <c r="C248" s="2" t="s">
        <v>16</v>
      </c>
      <c r="D248" s="3"/>
      <c r="E248" s="3"/>
    </row>
    <row r="249" spans="1:6">
      <c r="A249" s="1"/>
      <c r="B249" s="2"/>
      <c r="C249" s="2"/>
      <c r="D249" s="3" t="s">
        <v>11</v>
      </c>
      <c r="E249" s="3">
        <v>16</v>
      </c>
      <c r="F249">
        <f>PRODUCT(E249:E251)</f>
        <v>131072</v>
      </c>
    </row>
    <row r="250" spans="1:5">
      <c r="A250" s="1"/>
      <c r="B250" s="2"/>
      <c r="C250" s="2"/>
      <c r="D250" s="3" t="s">
        <v>12</v>
      </c>
      <c r="E250" s="3">
        <v>16</v>
      </c>
    </row>
    <row r="251" spans="1:5">
      <c r="A251" s="1"/>
      <c r="B251" s="2"/>
      <c r="C251" s="2"/>
      <c r="D251" s="3" t="s">
        <v>13</v>
      </c>
      <c r="E251" s="3">
        <v>512</v>
      </c>
    </row>
    <row r="252" spans="1:6">
      <c r="A252" s="1"/>
      <c r="B252" s="2"/>
      <c r="C252" s="15"/>
      <c r="F252" s="4">
        <f>SUM(F214,F220,F224,F229,F234,F240,F244,F249)</f>
        <v>547618816</v>
      </c>
    </row>
    <row r="253" spans="1:5">
      <c r="A253" s="1"/>
      <c r="B253" s="2" t="s">
        <v>20</v>
      </c>
      <c r="C253" s="3" t="s">
        <v>21</v>
      </c>
      <c r="D253" s="3"/>
      <c r="E253" s="3"/>
    </row>
    <row r="254" spans="1:5">
      <c r="A254" s="1"/>
      <c r="B254" s="2"/>
      <c r="C254" s="2" t="s">
        <v>4</v>
      </c>
      <c r="D254" s="3"/>
      <c r="E254" s="3"/>
    </row>
    <row r="255" spans="1:6">
      <c r="A255" s="1"/>
      <c r="B255" s="2"/>
      <c r="C255" s="2"/>
      <c r="D255" s="3" t="s">
        <v>5</v>
      </c>
      <c r="E255" s="3">
        <v>1792</v>
      </c>
      <c r="F255">
        <f>2*PRODUCT(E255:E259)</f>
        <v>33030144</v>
      </c>
    </row>
    <row r="256" spans="1:5">
      <c r="A256" s="1"/>
      <c r="B256" s="2"/>
      <c r="C256" s="2"/>
      <c r="D256" s="3" t="s">
        <v>6</v>
      </c>
      <c r="E256" s="3">
        <v>3</v>
      </c>
    </row>
    <row r="257" spans="1:5">
      <c r="A257" s="1"/>
      <c r="B257" s="2"/>
      <c r="C257" s="2"/>
      <c r="D257" s="3" t="s">
        <v>7</v>
      </c>
      <c r="E257" s="3">
        <v>3</v>
      </c>
    </row>
    <row r="258" spans="1:5">
      <c r="A258" s="1"/>
      <c r="B258" s="2"/>
      <c r="C258" s="2"/>
      <c r="D258" s="3" t="s">
        <v>8</v>
      </c>
      <c r="E258" s="3">
        <v>32</v>
      </c>
    </row>
    <row r="259" spans="1:5">
      <c r="A259" s="1"/>
      <c r="B259" s="2"/>
      <c r="C259" s="2"/>
      <c r="D259" s="3" t="s">
        <v>9</v>
      </c>
      <c r="E259" s="3">
        <v>32</v>
      </c>
    </row>
    <row r="260" spans="1:5">
      <c r="A260" s="1"/>
      <c r="B260" s="2"/>
      <c r="C260" s="2" t="s">
        <v>10</v>
      </c>
      <c r="D260" s="3"/>
      <c r="E260" s="3"/>
    </row>
    <row r="261" spans="1:6">
      <c r="A261" s="1"/>
      <c r="B261" s="2"/>
      <c r="C261" s="2"/>
      <c r="D261" s="3" t="s">
        <v>11</v>
      </c>
      <c r="E261" s="3">
        <v>32</v>
      </c>
      <c r="F261">
        <f>2*PRODUCT(E261:E263)</f>
        <v>3670016</v>
      </c>
    </row>
    <row r="262" spans="1:5">
      <c r="A262" s="1"/>
      <c r="B262" s="2"/>
      <c r="C262" s="2"/>
      <c r="D262" s="3" t="s">
        <v>12</v>
      </c>
      <c r="E262" s="3">
        <v>32</v>
      </c>
    </row>
    <row r="263" spans="1:5">
      <c r="A263" s="1"/>
      <c r="B263" s="2"/>
      <c r="C263" s="2"/>
      <c r="D263" s="3" t="s">
        <v>13</v>
      </c>
      <c r="E263" s="3">
        <v>1792</v>
      </c>
    </row>
    <row r="264" spans="1:5">
      <c r="A264" s="1"/>
      <c r="B264" s="2"/>
      <c r="C264" s="2" t="s">
        <v>22</v>
      </c>
      <c r="D264" s="3"/>
      <c r="E264" s="3"/>
    </row>
    <row r="265" spans="1:6">
      <c r="A265" s="1"/>
      <c r="B265" s="2"/>
      <c r="C265" s="2"/>
      <c r="D265" s="3" t="s">
        <v>5</v>
      </c>
      <c r="E265" s="3">
        <v>1792</v>
      </c>
      <c r="F265">
        <f>2*PRODUCT(E265:E268)</f>
        <v>939524096</v>
      </c>
    </row>
    <row r="266" spans="1:5">
      <c r="A266" s="1"/>
      <c r="B266" s="2"/>
      <c r="C266" s="2"/>
      <c r="D266" s="3" t="s">
        <v>15</v>
      </c>
      <c r="E266" s="3">
        <v>256</v>
      </c>
    </row>
    <row r="267" spans="1:5">
      <c r="A267" s="1"/>
      <c r="B267" s="2"/>
      <c r="C267" s="2"/>
      <c r="D267" s="3" t="s">
        <v>8</v>
      </c>
      <c r="E267" s="3">
        <v>32</v>
      </c>
    </row>
    <row r="268" spans="1:5">
      <c r="A268" s="1"/>
      <c r="B268" s="2"/>
      <c r="C268" s="2"/>
      <c r="D268" s="3" t="s">
        <v>9</v>
      </c>
      <c r="E268" s="3">
        <v>32</v>
      </c>
    </row>
    <row r="269" spans="1:5">
      <c r="A269" s="1"/>
      <c r="B269" s="2"/>
      <c r="C269" s="2" t="s">
        <v>16</v>
      </c>
      <c r="D269" s="3"/>
      <c r="E269" s="3"/>
    </row>
    <row r="270" spans="1:6">
      <c r="A270" s="1"/>
      <c r="B270" s="2"/>
      <c r="C270" s="2"/>
      <c r="D270" s="3" t="s">
        <v>11</v>
      </c>
      <c r="E270" s="3">
        <v>32</v>
      </c>
      <c r="F270">
        <f>PRODUCT(E270:E272)</f>
        <v>262144</v>
      </c>
    </row>
    <row r="271" spans="1:5">
      <c r="A271" s="1"/>
      <c r="B271" s="2"/>
      <c r="C271" s="2"/>
      <c r="D271" s="3" t="s">
        <v>12</v>
      </c>
      <c r="E271" s="3">
        <v>32</v>
      </c>
    </row>
    <row r="272" spans="1:5">
      <c r="A272" s="1"/>
      <c r="B272" s="2"/>
      <c r="C272" s="2"/>
      <c r="D272" s="3" t="s">
        <v>13</v>
      </c>
      <c r="E272" s="3">
        <v>256</v>
      </c>
    </row>
    <row r="273" spans="1:5">
      <c r="A273" s="1"/>
      <c r="B273" s="2"/>
      <c r="C273" s="3"/>
      <c r="D273" s="3"/>
      <c r="E273" s="3"/>
    </row>
    <row r="274" spans="1:5">
      <c r="A274" s="1"/>
      <c r="B274" s="2"/>
      <c r="C274" s="2" t="s">
        <v>4</v>
      </c>
      <c r="D274" s="3"/>
      <c r="E274" s="3"/>
    </row>
    <row r="275" spans="1:6">
      <c r="A275" s="1"/>
      <c r="B275" s="2"/>
      <c r="C275" s="2"/>
      <c r="D275" s="3" t="s">
        <v>5</v>
      </c>
      <c r="E275" s="3">
        <v>256</v>
      </c>
      <c r="F275">
        <f>2*PRODUCT(E275:E279)</f>
        <v>4718592</v>
      </c>
    </row>
    <row r="276" spans="1:5">
      <c r="A276" s="1"/>
      <c r="B276" s="2"/>
      <c r="C276" s="2"/>
      <c r="D276" s="3" t="s">
        <v>6</v>
      </c>
      <c r="E276" s="3">
        <v>3</v>
      </c>
    </row>
    <row r="277" spans="1:5">
      <c r="A277" s="1"/>
      <c r="B277" s="2"/>
      <c r="C277" s="2"/>
      <c r="D277" s="3" t="s">
        <v>7</v>
      </c>
      <c r="E277" s="3">
        <v>3</v>
      </c>
    </row>
    <row r="278" spans="1:5">
      <c r="A278" s="1"/>
      <c r="B278" s="2"/>
      <c r="C278" s="2"/>
      <c r="D278" s="3" t="s">
        <v>8</v>
      </c>
      <c r="E278" s="3">
        <v>32</v>
      </c>
    </row>
    <row r="279" spans="1:5">
      <c r="A279" s="1"/>
      <c r="B279" s="2"/>
      <c r="C279" s="2"/>
      <c r="D279" s="3" t="s">
        <v>9</v>
      </c>
      <c r="E279" s="3">
        <v>32</v>
      </c>
    </row>
    <row r="280" spans="1:5">
      <c r="A280" s="1"/>
      <c r="B280" s="2"/>
      <c r="C280" s="2" t="s">
        <v>10</v>
      </c>
      <c r="D280" s="3"/>
      <c r="E280" s="3"/>
    </row>
    <row r="281" spans="1:6">
      <c r="A281" s="1"/>
      <c r="B281" s="2"/>
      <c r="C281" s="2"/>
      <c r="D281" s="3" t="s">
        <v>11</v>
      </c>
      <c r="E281" s="3">
        <v>32</v>
      </c>
      <c r="F281">
        <f>2*PRODUCT(E281:E283)</f>
        <v>524288</v>
      </c>
    </row>
    <row r="282" spans="1:5">
      <c r="A282" s="1"/>
      <c r="B282" s="2"/>
      <c r="C282" s="2"/>
      <c r="D282" s="3" t="s">
        <v>12</v>
      </c>
      <c r="E282" s="3">
        <v>32</v>
      </c>
    </row>
    <row r="283" spans="1:5">
      <c r="A283" s="1"/>
      <c r="B283" s="2"/>
      <c r="C283" s="2"/>
      <c r="D283" s="3" t="s">
        <v>13</v>
      </c>
      <c r="E283" s="3">
        <v>256</v>
      </c>
    </row>
    <row r="284" spans="1:5">
      <c r="A284" s="1"/>
      <c r="B284" s="2"/>
      <c r="C284" s="2" t="s">
        <v>22</v>
      </c>
      <c r="D284" s="3"/>
      <c r="E284" s="3"/>
    </row>
    <row r="285" spans="1:6">
      <c r="A285" s="1"/>
      <c r="B285" s="2"/>
      <c r="C285" s="2"/>
      <c r="D285" s="3" t="s">
        <v>5</v>
      </c>
      <c r="E285" s="3">
        <v>256</v>
      </c>
      <c r="F285">
        <f>2*PRODUCT(E285:E288)</f>
        <v>134217728</v>
      </c>
    </row>
    <row r="286" spans="1:5">
      <c r="A286" s="1"/>
      <c r="B286" s="2"/>
      <c r="C286" s="2"/>
      <c r="D286" s="3" t="s">
        <v>15</v>
      </c>
      <c r="E286" s="3">
        <v>256</v>
      </c>
    </row>
    <row r="287" spans="1:5">
      <c r="A287" s="1"/>
      <c r="B287" s="2"/>
      <c r="C287" s="2"/>
      <c r="D287" s="3" t="s">
        <v>8</v>
      </c>
      <c r="E287" s="3">
        <v>32</v>
      </c>
    </row>
    <row r="288" spans="1:5">
      <c r="A288" s="1"/>
      <c r="B288" s="2"/>
      <c r="C288" s="2"/>
      <c r="D288" s="3" t="s">
        <v>9</v>
      </c>
      <c r="E288" s="3">
        <v>32</v>
      </c>
    </row>
    <row r="289" spans="1:5">
      <c r="A289" s="1"/>
      <c r="B289" s="2"/>
      <c r="C289" s="2" t="s">
        <v>16</v>
      </c>
      <c r="D289" s="3"/>
      <c r="E289" s="3"/>
    </row>
    <row r="290" spans="1:6">
      <c r="A290" s="1"/>
      <c r="B290" s="2"/>
      <c r="C290" s="2"/>
      <c r="D290" s="3" t="s">
        <v>11</v>
      </c>
      <c r="E290" s="3">
        <v>32</v>
      </c>
      <c r="F290">
        <f>PRODUCT(E290:E292)</f>
        <v>262144</v>
      </c>
    </row>
    <row r="291" spans="1:5">
      <c r="A291" s="1"/>
      <c r="B291" s="2"/>
      <c r="C291" s="2"/>
      <c r="D291" s="3" t="s">
        <v>12</v>
      </c>
      <c r="E291" s="3">
        <v>32</v>
      </c>
    </row>
    <row r="292" spans="1:5">
      <c r="A292" s="1"/>
      <c r="B292" s="2"/>
      <c r="C292" s="2"/>
      <c r="D292" s="3" t="s">
        <v>13</v>
      </c>
      <c r="E292" s="3">
        <v>256</v>
      </c>
    </row>
    <row r="293" spans="1:6">
      <c r="A293" s="1"/>
      <c r="B293" s="2"/>
      <c r="C293" s="15"/>
      <c r="F293" s="4">
        <f>SUM(F255,F261,F265,F270,F275,F281,F285,F290)</f>
        <v>1116209152</v>
      </c>
    </row>
    <row r="294" spans="1:5">
      <c r="A294" s="1"/>
      <c r="B294" s="2" t="s">
        <v>17</v>
      </c>
      <c r="C294" s="3" t="s">
        <v>18</v>
      </c>
      <c r="D294" s="3"/>
      <c r="E294" s="3"/>
    </row>
    <row r="295" spans="1:5">
      <c r="A295" s="1"/>
      <c r="B295" s="2"/>
      <c r="C295" s="2" t="s">
        <v>4</v>
      </c>
      <c r="D295" s="3"/>
      <c r="E295" s="3"/>
    </row>
    <row r="296" spans="1:6">
      <c r="A296" s="1"/>
      <c r="B296" s="2"/>
      <c r="C296" s="2"/>
      <c r="D296" s="3" t="s">
        <v>5</v>
      </c>
      <c r="E296" s="3">
        <v>896</v>
      </c>
      <c r="F296">
        <f>2*PRODUCT(E296:E300)</f>
        <v>66060288</v>
      </c>
    </row>
    <row r="297" spans="1:5">
      <c r="A297" s="1"/>
      <c r="B297" s="2"/>
      <c r="C297" s="2"/>
      <c r="D297" s="3" t="s">
        <v>6</v>
      </c>
      <c r="E297" s="3">
        <v>3</v>
      </c>
    </row>
    <row r="298" spans="1:5">
      <c r="A298" s="1"/>
      <c r="B298" s="2"/>
      <c r="C298" s="2"/>
      <c r="D298" s="3" t="s">
        <v>7</v>
      </c>
      <c r="E298" s="3">
        <v>3</v>
      </c>
    </row>
    <row r="299" spans="1:5">
      <c r="A299" s="1"/>
      <c r="B299" s="2"/>
      <c r="C299" s="2"/>
      <c r="D299" s="3" t="s">
        <v>8</v>
      </c>
      <c r="E299" s="3">
        <v>64</v>
      </c>
    </row>
    <row r="300" spans="1:5">
      <c r="A300" s="1"/>
      <c r="B300" s="2"/>
      <c r="C300" s="2"/>
      <c r="D300" s="3" t="s">
        <v>9</v>
      </c>
      <c r="E300" s="3">
        <v>64</v>
      </c>
    </row>
    <row r="301" spans="1:5">
      <c r="A301" s="1"/>
      <c r="B301" s="2"/>
      <c r="C301" s="2" t="s">
        <v>10</v>
      </c>
      <c r="D301" s="3"/>
      <c r="E301" s="3"/>
    </row>
    <row r="302" spans="1:6">
      <c r="A302" s="1"/>
      <c r="B302" s="2"/>
      <c r="C302" s="2"/>
      <c r="D302" s="3" t="s">
        <v>11</v>
      </c>
      <c r="E302" s="3">
        <v>64</v>
      </c>
      <c r="F302">
        <f>2*PRODUCT(E302:E304)</f>
        <v>7340032</v>
      </c>
    </row>
    <row r="303" spans="1:5">
      <c r="A303" s="1"/>
      <c r="B303" s="2"/>
      <c r="C303" s="2"/>
      <c r="D303" s="3" t="s">
        <v>12</v>
      </c>
      <c r="E303" s="3">
        <v>64</v>
      </c>
    </row>
    <row r="304" spans="1:5">
      <c r="A304" s="1"/>
      <c r="B304" s="2"/>
      <c r="C304" s="2"/>
      <c r="D304" s="3" t="s">
        <v>13</v>
      </c>
      <c r="E304" s="3">
        <v>896</v>
      </c>
    </row>
    <row r="305" spans="1:5">
      <c r="A305" s="1"/>
      <c r="B305" s="2"/>
      <c r="C305" s="2" t="s">
        <v>19</v>
      </c>
      <c r="D305" s="3"/>
      <c r="E305" s="3"/>
    </row>
    <row r="306" spans="1:6">
      <c r="A306" s="1"/>
      <c r="B306" s="2"/>
      <c r="C306" s="2"/>
      <c r="D306" s="3" t="s">
        <v>5</v>
      </c>
      <c r="E306" s="3">
        <v>896</v>
      </c>
      <c r="F306">
        <f>2*PRODUCT(E306:E309)</f>
        <v>939524096</v>
      </c>
    </row>
    <row r="307" spans="1:5">
      <c r="A307" s="1"/>
      <c r="B307" s="2"/>
      <c r="C307" s="2"/>
      <c r="D307" s="3" t="s">
        <v>15</v>
      </c>
      <c r="E307" s="3">
        <v>128</v>
      </c>
    </row>
    <row r="308" spans="1:5">
      <c r="A308" s="1"/>
      <c r="B308" s="2"/>
      <c r="C308" s="2"/>
      <c r="D308" s="3" t="s">
        <v>8</v>
      </c>
      <c r="E308" s="3">
        <v>64</v>
      </c>
    </row>
    <row r="309" spans="1:5">
      <c r="A309" s="1"/>
      <c r="B309" s="2"/>
      <c r="C309" s="2"/>
      <c r="D309" s="3" t="s">
        <v>9</v>
      </c>
      <c r="E309" s="3">
        <v>64</v>
      </c>
    </row>
    <row r="310" spans="1:5">
      <c r="A310" s="1"/>
      <c r="B310" s="2"/>
      <c r="C310" s="2" t="s">
        <v>16</v>
      </c>
      <c r="D310" s="3"/>
      <c r="E310" s="3"/>
    </row>
    <row r="311" spans="1:6">
      <c r="A311" s="1"/>
      <c r="B311" s="2"/>
      <c r="C311" s="2"/>
      <c r="D311" s="3" t="s">
        <v>11</v>
      </c>
      <c r="E311" s="3">
        <v>64</v>
      </c>
      <c r="F311">
        <f>PRODUCT(E311:E313)</f>
        <v>524288</v>
      </c>
    </row>
    <row r="312" spans="1:5">
      <c r="A312" s="1"/>
      <c r="B312" s="2"/>
      <c r="C312" s="2"/>
      <c r="D312" s="3" t="s">
        <v>12</v>
      </c>
      <c r="E312" s="3">
        <v>64</v>
      </c>
    </row>
    <row r="313" spans="1:5">
      <c r="A313" s="1"/>
      <c r="B313" s="2"/>
      <c r="C313" s="2"/>
      <c r="D313" s="3" t="s">
        <v>13</v>
      </c>
      <c r="E313" s="3">
        <v>128</v>
      </c>
    </row>
    <row r="314" spans="1:5">
      <c r="A314" s="1"/>
      <c r="B314" s="2"/>
      <c r="C314" s="3"/>
      <c r="D314" s="3"/>
      <c r="E314" s="3"/>
    </row>
    <row r="315" spans="1:5">
      <c r="A315" s="1"/>
      <c r="B315" s="2"/>
      <c r="C315" s="2" t="s">
        <v>4</v>
      </c>
      <c r="D315" s="3"/>
      <c r="E315" s="3"/>
    </row>
    <row r="316" spans="1:6">
      <c r="A316" s="1"/>
      <c r="B316" s="2"/>
      <c r="C316" s="2"/>
      <c r="D316" s="3" t="s">
        <v>5</v>
      </c>
      <c r="E316" s="3">
        <v>128</v>
      </c>
      <c r="F316">
        <f>2*PRODUCT(E316:E320)</f>
        <v>9437184</v>
      </c>
    </row>
    <row r="317" spans="1:5">
      <c r="A317" s="1"/>
      <c r="B317" s="2"/>
      <c r="C317" s="2"/>
      <c r="D317" s="3" t="s">
        <v>6</v>
      </c>
      <c r="E317" s="3">
        <v>3</v>
      </c>
    </row>
    <row r="318" spans="1:5">
      <c r="A318" s="1"/>
      <c r="B318" s="2"/>
      <c r="C318" s="2"/>
      <c r="D318" s="3" t="s">
        <v>7</v>
      </c>
      <c r="E318" s="3">
        <v>3</v>
      </c>
    </row>
    <row r="319" spans="1:5">
      <c r="A319" s="1"/>
      <c r="B319" s="2"/>
      <c r="C319" s="2"/>
      <c r="D319" s="3" t="s">
        <v>8</v>
      </c>
      <c r="E319" s="3">
        <v>64</v>
      </c>
    </row>
    <row r="320" spans="1:5">
      <c r="A320" s="1"/>
      <c r="B320" s="2"/>
      <c r="C320" s="2"/>
      <c r="D320" s="3" t="s">
        <v>9</v>
      </c>
      <c r="E320" s="3">
        <v>64</v>
      </c>
    </row>
    <row r="321" spans="1:5">
      <c r="A321" s="1"/>
      <c r="B321" s="2"/>
      <c r="C321" s="2" t="s">
        <v>10</v>
      </c>
      <c r="D321" s="3"/>
      <c r="E321" s="3"/>
    </row>
    <row r="322" spans="1:6">
      <c r="A322" s="1"/>
      <c r="B322" s="2"/>
      <c r="C322" s="2"/>
      <c r="D322" s="3" t="s">
        <v>11</v>
      </c>
      <c r="E322" s="3">
        <v>64</v>
      </c>
      <c r="F322">
        <f>2*PRODUCT(E322:E324)</f>
        <v>1048576</v>
      </c>
    </row>
    <row r="323" spans="1:5">
      <c r="A323" s="1"/>
      <c r="B323" s="2"/>
      <c r="C323" s="2"/>
      <c r="D323" s="3" t="s">
        <v>12</v>
      </c>
      <c r="E323" s="3">
        <v>64</v>
      </c>
    </row>
    <row r="324" spans="1:5">
      <c r="A324" s="1"/>
      <c r="B324" s="2"/>
      <c r="C324" s="2"/>
      <c r="D324" s="3" t="s">
        <v>13</v>
      </c>
      <c r="E324" s="3">
        <v>128</v>
      </c>
    </row>
    <row r="325" spans="1:5">
      <c r="A325" s="1"/>
      <c r="B325" s="2"/>
      <c r="C325" s="2" t="s">
        <v>19</v>
      </c>
      <c r="D325" s="3"/>
      <c r="E325" s="3"/>
    </row>
    <row r="326" spans="1:6">
      <c r="A326" s="1"/>
      <c r="B326" s="2"/>
      <c r="C326" s="2"/>
      <c r="D326" s="3" t="s">
        <v>5</v>
      </c>
      <c r="E326" s="3">
        <v>128</v>
      </c>
      <c r="F326">
        <f>2*PRODUCT(E326:E329)</f>
        <v>134217728</v>
      </c>
    </row>
    <row r="327" spans="1:5">
      <c r="A327" s="1"/>
      <c r="B327" s="2"/>
      <c r="C327" s="2"/>
      <c r="D327" s="3" t="s">
        <v>15</v>
      </c>
      <c r="E327" s="3">
        <v>128</v>
      </c>
    </row>
    <row r="328" spans="1:5">
      <c r="A328" s="1"/>
      <c r="B328" s="2"/>
      <c r="C328" s="2"/>
      <c r="D328" s="3" t="s">
        <v>8</v>
      </c>
      <c r="E328" s="3">
        <v>64</v>
      </c>
    </row>
    <row r="329" spans="1:5">
      <c r="A329" s="1"/>
      <c r="B329" s="2"/>
      <c r="C329" s="2"/>
      <c r="D329" s="3" t="s">
        <v>9</v>
      </c>
      <c r="E329" s="3">
        <v>64</v>
      </c>
    </row>
    <row r="330" spans="1:5">
      <c r="A330" s="1"/>
      <c r="B330" s="2"/>
      <c r="C330" s="2" t="s">
        <v>16</v>
      </c>
      <c r="D330" s="3"/>
      <c r="E330" s="3"/>
    </row>
    <row r="331" spans="1:6">
      <c r="A331" s="1"/>
      <c r="B331" s="2"/>
      <c r="C331" s="2"/>
      <c r="D331" s="3" t="s">
        <v>11</v>
      </c>
      <c r="E331" s="3">
        <v>64</v>
      </c>
      <c r="F331">
        <f>PRODUCT(E331:E333)</f>
        <v>524288</v>
      </c>
    </row>
    <row r="332" spans="1:5">
      <c r="A332" s="1"/>
      <c r="B332" s="2"/>
      <c r="C332" s="2"/>
      <c r="D332" s="3" t="s">
        <v>12</v>
      </c>
      <c r="E332" s="3">
        <v>64</v>
      </c>
    </row>
    <row r="333" spans="1:5">
      <c r="A333" s="1"/>
      <c r="B333" s="2"/>
      <c r="C333" s="2"/>
      <c r="D333" s="3" t="s">
        <v>13</v>
      </c>
      <c r="E333" s="3">
        <v>128</v>
      </c>
    </row>
    <row r="334" spans="1:6">
      <c r="A334" s="1"/>
      <c r="B334" s="2"/>
      <c r="C334" s="15"/>
      <c r="F334" s="4">
        <f>SUM(F296,F302,F306,F311,F316,F322,F326,F3310)</f>
        <v>1158152192</v>
      </c>
    </row>
    <row r="335" spans="1:5">
      <c r="A335" s="1"/>
      <c r="B335" s="2" t="s">
        <v>2</v>
      </c>
      <c r="C335" s="3" t="s">
        <v>3</v>
      </c>
      <c r="D335" s="3"/>
      <c r="E335" s="3"/>
    </row>
    <row r="336" spans="1:5">
      <c r="A336" s="1"/>
      <c r="B336" s="2"/>
      <c r="C336" s="2" t="s">
        <v>4</v>
      </c>
      <c r="D336" s="3"/>
      <c r="E336" s="3"/>
    </row>
    <row r="337" spans="1:6">
      <c r="A337" s="1"/>
      <c r="B337" s="2"/>
      <c r="C337" s="2"/>
      <c r="D337" s="3" t="s">
        <v>5</v>
      </c>
      <c r="E337" s="3">
        <v>448</v>
      </c>
      <c r="F337">
        <f>2*PRODUCT(E337:E341)</f>
        <v>132120576</v>
      </c>
    </row>
    <row r="338" spans="1:5">
      <c r="A338" s="1"/>
      <c r="B338" s="2"/>
      <c r="C338" s="2"/>
      <c r="D338" s="3" t="s">
        <v>6</v>
      </c>
      <c r="E338" s="3">
        <v>3</v>
      </c>
    </row>
    <row r="339" spans="1:5">
      <c r="A339" s="1"/>
      <c r="B339" s="2"/>
      <c r="C339" s="2"/>
      <c r="D339" s="3" t="s">
        <v>7</v>
      </c>
      <c r="E339" s="3">
        <v>3</v>
      </c>
    </row>
    <row r="340" spans="1:5">
      <c r="A340" s="1"/>
      <c r="B340" s="2"/>
      <c r="C340" s="2"/>
      <c r="D340" s="3" t="s">
        <v>8</v>
      </c>
      <c r="E340" s="3">
        <v>128</v>
      </c>
    </row>
    <row r="341" spans="1:5">
      <c r="A341" s="1"/>
      <c r="B341" s="2"/>
      <c r="C341" s="2"/>
      <c r="D341" s="3" t="s">
        <v>9</v>
      </c>
      <c r="E341" s="3">
        <v>128</v>
      </c>
    </row>
    <row r="342" spans="1:5">
      <c r="A342" s="1"/>
      <c r="B342" s="2"/>
      <c r="C342" s="2" t="s">
        <v>10</v>
      </c>
      <c r="D342" s="3"/>
      <c r="E342" s="3"/>
    </row>
    <row r="343" spans="1:6">
      <c r="A343" s="1"/>
      <c r="B343" s="2"/>
      <c r="C343" s="2"/>
      <c r="D343" s="3" t="s">
        <v>11</v>
      </c>
      <c r="E343" s="3">
        <v>128</v>
      </c>
      <c r="F343">
        <f>2*PRODUCT(E343:E345)</f>
        <v>14680064</v>
      </c>
    </row>
    <row r="344" spans="1:5">
      <c r="A344" s="1"/>
      <c r="B344" s="2"/>
      <c r="C344" s="2"/>
      <c r="D344" s="3" t="s">
        <v>12</v>
      </c>
      <c r="E344" s="3">
        <v>128</v>
      </c>
    </row>
    <row r="345" spans="1:5">
      <c r="A345" s="1"/>
      <c r="B345" s="2"/>
      <c r="C345" s="2"/>
      <c r="D345" s="3" t="s">
        <v>13</v>
      </c>
      <c r="E345" s="3">
        <v>448</v>
      </c>
    </row>
    <row r="346" spans="1:5">
      <c r="A346" s="1"/>
      <c r="B346" s="2"/>
      <c r="C346" s="2" t="s">
        <v>14</v>
      </c>
      <c r="D346" s="3"/>
      <c r="E346" s="3"/>
    </row>
    <row r="347" spans="1:6">
      <c r="A347" s="1"/>
      <c r="B347" s="2"/>
      <c r="C347" s="2"/>
      <c r="D347" s="3" t="s">
        <v>5</v>
      </c>
      <c r="E347" s="3">
        <v>448</v>
      </c>
      <c r="F347">
        <f>2*PRODUCT(E347:E350)</f>
        <v>939524096</v>
      </c>
    </row>
    <row r="348" spans="1:5">
      <c r="A348" s="1"/>
      <c r="B348" s="2"/>
      <c r="C348" s="2"/>
      <c r="D348" s="3" t="s">
        <v>15</v>
      </c>
      <c r="E348" s="3">
        <v>64</v>
      </c>
    </row>
    <row r="349" spans="1:5">
      <c r="A349" s="1"/>
      <c r="B349" s="2"/>
      <c r="C349" s="2"/>
      <c r="D349" s="3" t="s">
        <v>8</v>
      </c>
      <c r="E349" s="3">
        <v>128</v>
      </c>
    </row>
    <row r="350" spans="1:5">
      <c r="A350" s="1"/>
      <c r="B350" s="2"/>
      <c r="C350" s="2"/>
      <c r="D350" s="3" t="s">
        <v>9</v>
      </c>
      <c r="E350" s="3">
        <v>128</v>
      </c>
    </row>
    <row r="351" spans="1:5">
      <c r="A351" s="1"/>
      <c r="B351" s="2"/>
      <c r="C351" s="2" t="s">
        <v>16</v>
      </c>
      <c r="D351" s="3"/>
      <c r="E351" s="3"/>
    </row>
    <row r="352" spans="1:6">
      <c r="A352" s="1"/>
      <c r="B352" s="2"/>
      <c r="C352" s="2"/>
      <c r="D352" s="3" t="s">
        <v>11</v>
      </c>
      <c r="E352" s="3">
        <v>128</v>
      </c>
      <c r="F352">
        <f>PRODUCT(E352:E354)</f>
        <v>1048576</v>
      </c>
    </row>
    <row r="353" spans="1:5">
      <c r="A353" s="1"/>
      <c r="B353" s="2"/>
      <c r="C353" s="2"/>
      <c r="D353" s="3" t="s">
        <v>12</v>
      </c>
      <c r="E353" s="3">
        <v>128</v>
      </c>
    </row>
    <row r="354" spans="1:5">
      <c r="A354" s="1"/>
      <c r="B354" s="2"/>
      <c r="C354" s="2"/>
      <c r="D354" s="3" t="s">
        <v>13</v>
      </c>
      <c r="E354" s="3">
        <v>64</v>
      </c>
    </row>
    <row r="355" spans="1:5">
      <c r="A355" s="1"/>
      <c r="B355" s="2"/>
      <c r="C355" s="3"/>
      <c r="D355" s="3"/>
      <c r="E355" s="3"/>
    </row>
    <row r="356" spans="1:5">
      <c r="A356" s="1"/>
      <c r="B356" s="2"/>
      <c r="C356" s="2" t="s">
        <v>4</v>
      </c>
      <c r="D356" s="3"/>
      <c r="E356" s="3"/>
    </row>
    <row r="357" spans="1:6">
      <c r="A357" s="1"/>
      <c r="B357" s="2"/>
      <c r="C357" s="2"/>
      <c r="D357" s="3" t="s">
        <v>5</v>
      </c>
      <c r="E357" s="3">
        <v>64</v>
      </c>
      <c r="F357">
        <f>2*PRODUCT(E357:E361)</f>
        <v>18874368</v>
      </c>
    </row>
    <row r="358" spans="1:5">
      <c r="A358" s="1"/>
      <c r="B358" s="2"/>
      <c r="C358" s="2"/>
      <c r="D358" s="3" t="s">
        <v>6</v>
      </c>
      <c r="E358" s="3">
        <v>3</v>
      </c>
    </row>
    <row r="359" spans="1:5">
      <c r="A359" s="1"/>
      <c r="B359" s="2"/>
      <c r="C359" s="2"/>
      <c r="D359" s="3" t="s">
        <v>7</v>
      </c>
      <c r="E359" s="3">
        <v>3</v>
      </c>
    </row>
    <row r="360" spans="1:5">
      <c r="A360" s="1"/>
      <c r="B360" s="2"/>
      <c r="C360" s="2"/>
      <c r="D360" s="3" t="s">
        <v>8</v>
      </c>
      <c r="E360" s="3">
        <v>128</v>
      </c>
    </row>
    <row r="361" spans="1:5">
      <c r="A361" s="1"/>
      <c r="B361" s="2"/>
      <c r="C361" s="2"/>
      <c r="D361" s="3" t="s">
        <v>9</v>
      </c>
      <c r="E361" s="3">
        <v>128</v>
      </c>
    </row>
    <row r="362" spans="1:5">
      <c r="A362" s="1"/>
      <c r="B362" s="2"/>
      <c r="C362" s="2" t="s">
        <v>10</v>
      </c>
      <c r="D362" s="3"/>
      <c r="E362" s="3"/>
    </row>
    <row r="363" spans="1:6">
      <c r="A363" s="1"/>
      <c r="B363" s="2"/>
      <c r="C363" s="2"/>
      <c r="D363" s="3" t="s">
        <v>11</v>
      </c>
      <c r="E363" s="3">
        <v>128</v>
      </c>
      <c r="F363">
        <f>2*PRODUCT(E363:E365)</f>
        <v>2097152</v>
      </c>
    </row>
    <row r="364" spans="1:5">
      <c r="A364" s="1"/>
      <c r="B364" s="2"/>
      <c r="C364" s="2"/>
      <c r="D364" s="3" t="s">
        <v>12</v>
      </c>
      <c r="E364" s="3">
        <v>128</v>
      </c>
    </row>
    <row r="365" spans="1:5">
      <c r="A365" s="1"/>
      <c r="B365" s="2"/>
      <c r="C365" s="2"/>
      <c r="D365" s="3" t="s">
        <v>13</v>
      </c>
      <c r="E365" s="3">
        <v>64</v>
      </c>
    </row>
    <row r="366" spans="1:5">
      <c r="A366" s="1"/>
      <c r="B366" s="2"/>
      <c r="C366" s="2" t="s">
        <v>14</v>
      </c>
      <c r="D366" s="3"/>
      <c r="E366" s="3"/>
    </row>
    <row r="367" spans="1:6">
      <c r="A367" s="1"/>
      <c r="B367" s="2"/>
      <c r="C367" s="2"/>
      <c r="D367" s="3" t="s">
        <v>5</v>
      </c>
      <c r="E367" s="3">
        <v>64</v>
      </c>
      <c r="F367">
        <f>2*PRODUCT(E367:E370)</f>
        <v>134217728</v>
      </c>
    </row>
    <row r="368" spans="1:5">
      <c r="A368" s="1"/>
      <c r="B368" s="2"/>
      <c r="C368" s="2"/>
      <c r="D368" s="3" t="s">
        <v>15</v>
      </c>
      <c r="E368" s="3">
        <v>64</v>
      </c>
    </row>
    <row r="369" spans="1:5">
      <c r="A369" s="1"/>
      <c r="B369" s="2"/>
      <c r="C369" s="2"/>
      <c r="D369" s="3" t="s">
        <v>8</v>
      </c>
      <c r="E369" s="3">
        <v>128</v>
      </c>
    </row>
    <row r="370" spans="1:5">
      <c r="A370" s="1"/>
      <c r="B370" s="2"/>
      <c r="C370" s="2"/>
      <c r="D370" s="3" t="s">
        <v>9</v>
      </c>
      <c r="E370" s="3">
        <v>128</v>
      </c>
    </row>
    <row r="371" spans="1:5">
      <c r="A371" s="1"/>
      <c r="B371" s="2"/>
      <c r="C371" s="2" t="s">
        <v>16</v>
      </c>
      <c r="D371" s="3"/>
      <c r="E371" s="3"/>
    </row>
    <row r="372" spans="1:6">
      <c r="A372" s="1"/>
      <c r="B372" s="2"/>
      <c r="C372" s="2"/>
      <c r="D372" s="3" t="s">
        <v>11</v>
      </c>
      <c r="E372" s="3">
        <v>64</v>
      </c>
      <c r="F372">
        <f>PRODUCT(E372:E374)</f>
        <v>262144</v>
      </c>
    </row>
    <row r="373" spans="1:5">
      <c r="A373" s="1"/>
      <c r="B373" s="2"/>
      <c r="C373" s="2"/>
      <c r="D373" s="3" t="s">
        <v>12</v>
      </c>
      <c r="E373" s="3">
        <v>64</v>
      </c>
    </row>
    <row r="374" spans="1:5">
      <c r="A374" s="1"/>
      <c r="B374" s="2"/>
      <c r="C374" s="2"/>
      <c r="D374" s="3" t="s">
        <v>13</v>
      </c>
      <c r="E374" s="3">
        <v>64</v>
      </c>
    </row>
    <row r="375" spans="1:6">
      <c r="A375" s="1"/>
      <c r="B375" s="2"/>
      <c r="C375" s="15"/>
      <c r="F375" s="4">
        <f>SUM(F337,F343,F347,F352,F357,F363,F367,F372)</f>
        <v>1242824704</v>
      </c>
    </row>
    <row r="376" spans="9:9">
      <c r="I376" s="16" t="s">
        <v>30</v>
      </c>
    </row>
    <row r="379" spans="1:8">
      <c r="A379" t="s">
        <v>31</v>
      </c>
      <c r="H379" t="s">
        <v>32</v>
      </c>
    </row>
    <row r="380" spans="2:11">
      <c r="B380" s="2" t="s">
        <v>2</v>
      </c>
      <c r="C380" s="3"/>
      <c r="D380" s="3"/>
      <c r="I380" s="2" t="s">
        <v>33</v>
      </c>
      <c r="J380" s="3"/>
      <c r="K380" s="3"/>
    </row>
    <row r="381" spans="2:12">
      <c r="B381" s="2"/>
      <c r="C381" s="3" t="s">
        <v>11</v>
      </c>
      <c r="D381" s="3">
        <v>128</v>
      </c>
      <c r="I381" s="2"/>
      <c r="J381" s="3" t="s">
        <v>8</v>
      </c>
      <c r="K381" s="3">
        <v>128</v>
      </c>
      <c r="L381">
        <f>2*PRODUCT(K381:K386)</f>
        <v>2415919104</v>
      </c>
    </row>
    <row r="382" spans="2:11">
      <c r="B382" s="2"/>
      <c r="C382" s="3" t="s">
        <v>12</v>
      </c>
      <c r="D382" s="3">
        <v>128</v>
      </c>
      <c r="I382" s="2"/>
      <c r="J382" s="3" t="s">
        <v>9</v>
      </c>
      <c r="K382" s="3">
        <v>128</v>
      </c>
    </row>
    <row r="383" spans="2:11">
      <c r="B383" s="2"/>
      <c r="C383" s="3" t="s">
        <v>34</v>
      </c>
      <c r="D383" s="3">
        <v>64</v>
      </c>
      <c r="I383" s="2"/>
      <c r="J383" s="3" t="s">
        <v>15</v>
      </c>
      <c r="K383" s="3">
        <v>128</v>
      </c>
    </row>
    <row r="384" spans="2:11">
      <c r="B384" s="2"/>
      <c r="C384" s="3" t="s">
        <v>15</v>
      </c>
      <c r="D384" s="3">
        <v>256</v>
      </c>
      <c r="I384" s="2"/>
      <c r="J384" s="3" t="s">
        <v>34</v>
      </c>
      <c r="K384" s="3">
        <v>64</v>
      </c>
    </row>
    <row r="385" spans="2:11">
      <c r="B385" s="2"/>
      <c r="C385" s="3" t="s">
        <v>35</v>
      </c>
      <c r="D385" s="3">
        <v>3</v>
      </c>
      <c r="I385" s="2"/>
      <c r="J385" s="3" t="s">
        <v>6</v>
      </c>
      <c r="K385" s="3">
        <v>3</v>
      </c>
    </row>
    <row r="386" spans="2:11">
      <c r="B386" s="2"/>
      <c r="C386" s="3"/>
      <c r="D386" s="3"/>
      <c r="F386" s="4">
        <f>(3*(D381*D382*D383*D385*D385+D381*D382*D383*D384)+D381*D382*D383*D384)</f>
        <v>1102053376</v>
      </c>
      <c r="I386" s="2"/>
      <c r="J386" s="3" t="s">
        <v>7</v>
      </c>
      <c r="K386" s="3">
        <v>3</v>
      </c>
    </row>
    <row r="387" spans="9:11">
      <c r="I387" s="2" t="s">
        <v>16</v>
      </c>
      <c r="J387" s="3"/>
      <c r="K387" s="3"/>
    </row>
    <row r="388" spans="9:12">
      <c r="I388" s="2"/>
      <c r="J388" s="3" t="s">
        <v>11</v>
      </c>
      <c r="K388" s="3">
        <v>128</v>
      </c>
      <c r="L388">
        <f>PRODUCT(K388:K390)</f>
        <v>2097152</v>
      </c>
    </row>
    <row r="389" spans="2:11">
      <c r="B389" s="2" t="s">
        <v>17</v>
      </c>
      <c r="C389" s="3"/>
      <c r="D389" s="3"/>
      <c r="I389" s="2"/>
      <c r="J389" s="3" t="s">
        <v>12</v>
      </c>
      <c r="K389" s="3">
        <v>128</v>
      </c>
    </row>
    <row r="390" spans="2:11">
      <c r="B390" s="2"/>
      <c r="C390" s="3" t="s">
        <v>11</v>
      </c>
      <c r="D390" s="3">
        <v>64</v>
      </c>
      <c r="I390" s="2"/>
      <c r="J390" s="3" t="s">
        <v>13</v>
      </c>
      <c r="K390" s="3">
        <v>128</v>
      </c>
    </row>
    <row r="391" spans="2:12">
      <c r="B391" s="2"/>
      <c r="C391" s="3" t="s">
        <v>12</v>
      </c>
      <c r="D391" s="3">
        <v>64</v>
      </c>
      <c r="L391" s="17"/>
    </row>
    <row r="392" spans="2:4">
      <c r="B392" s="2"/>
      <c r="C392" s="3" t="s">
        <v>34</v>
      </c>
      <c r="D392" s="3">
        <v>128</v>
      </c>
    </row>
    <row r="393" spans="2:11">
      <c r="B393" s="2"/>
      <c r="C393" s="3" t="s">
        <v>15</v>
      </c>
      <c r="D393" s="3">
        <v>512</v>
      </c>
      <c r="I393" s="2" t="s">
        <v>36</v>
      </c>
      <c r="J393" s="3"/>
      <c r="K393" s="3"/>
    </row>
    <row r="394" spans="2:12">
      <c r="B394" s="2"/>
      <c r="C394" s="3" t="s">
        <v>35</v>
      </c>
      <c r="D394" s="3">
        <v>3</v>
      </c>
      <c r="I394" s="2"/>
      <c r="J394" s="3" t="s">
        <v>8</v>
      </c>
      <c r="K394" s="3">
        <v>128</v>
      </c>
      <c r="L394">
        <f>2*PRODUCT(K394:K399)</f>
        <v>150994944</v>
      </c>
    </row>
    <row r="395" spans="2:11">
      <c r="B395" s="2"/>
      <c r="C395" s="3"/>
      <c r="D395" s="3"/>
      <c r="F395" s="4">
        <f>(3*(D390*D391*D392*D394*D394+D390*D391*D392*D393)+D390*D391*D392*D393)</f>
        <v>1087897600</v>
      </c>
      <c r="I395" s="2"/>
      <c r="J395" s="3" t="s">
        <v>9</v>
      </c>
      <c r="K395" s="3">
        <v>128</v>
      </c>
    </row>
    <row r="396" spans="9:11">
      <c r="I396" s="2"/>
      <c r="J396" s="3" t="s">
        <v>15</v>
      </c>
      <c r="K396" s="3">
        <v>4</v>
      </c>
    </row>
    <row r="397" spans="9:11">
      <c r="I397" s="2"/>
      <c r="J397" s="3" t="s">
        <v>34</v>
      </c>
      <c r="K397" s="3">
        <v>128</v>
      </c>
    </row>
    <row r="398" spans="9:11">
      <c r="I398" s="2"/>
      <c r="J398" s="3" t="s">
        <v>6</v>
      </c>
      <c r="K398" s="3">
        <v>3</v>
      </c>
    </row>
    <row r="399" spans="2:11">
      <c r="B399" s="2" t="s">
        <v>20</v>
      </c>
      <c r="C399" s="3"/>
      <c r="D399" s="3"/>
      <c r="I399" s="2"/>
      <c r="J399" s="3" t="s">
        <v>7</v>
      </c>
      <c r="K399" s="3">
        <v>3</v>
      </c>
    </row>
    <row r="400" spans="2:12">
      <c r="B400" s="2"/>
      <c r="C400" s="3" t="s">
        <v>11</v>
      </c>
      <c r="D400" s="3">
        <v>32</v>
      </c>
      <c r="L400" s="4">
        <f>SUM(L381,L388,L394)</f>
        <v>2569011200</v>
      </c>
    </row>
    <row r="401" spans="2:4">
      <c r="B401" s="2"/>
      <c r="C401" s="3" t="s">
        <v>12</v>
      </c>
      <c r="D401" s="3">
        <v>32</v>
      </c>
    </row>
    <row r="402" spans="2:4">
      <c r="B402" s="2"/>
      <c r="C402" s="3" t="s">
        <v>34</v>
      </c>
      <c r="D402" s="3">
        <v>256</v>
      </c>
    </row>
    <row r="403" spans="2:4">
      <c r="B403" s="2"/>
      <c r="C403" s="3" t="s">
        <v>15</v>
      </c>
      <c r="D403" s="3">
        <v>1024</v>
      </c>
    </row>
    <row r="404" spans="2:4">
      <c r="B404" s="2"/>
      <c r="C404" s="3" t="s">
        <v>35</v>
      </c>
      <c r="D404" s="3">
        <v>3</v>
      </c>
    </row>
    <row r="405" spans="2:6">
      <c r="B405" s="2"/>
      <c r="C405" s="3"/>
      <c r="D405" s="3"/>
      <c r="F405" s="4">
        <f>(3*(D400*D401*D402*D404*D404+D400*D401*D402*D403)+D400*D401*D402*D403)</f>
        <v>1080819712</v>
      </c>
    </row>
    <row r="410" spans="2:3">
      <c r="B410" s="3" t="s">
        <v>37</v>
      </c>
      <c r="C410" s="6">
        <f>SUM(F22,F42,F83,F124,F165,F206,F252,F293,F334,F375,F386,F395,F405,L400)</f>
        <v>11033837568</v>
      </c>
    </row>
    <row r="412" spans="3:3">
      <c r="C412">
        <f>C410*10^(-9)</f>
        <v>11.033837568</v>
      </c>
    </row>
  </sheetData>
  <mergeCells count="89">
    <mergeCell ref="A1:A206"/>
    <mergeCell ref="A211:A375"/>
    <mergeCell ref="B2:B42"/>
    <mergeCell ref="B43:B83"/>
    <mergeCell ref="B84:B124"/>
    <mergeCell ref="B125:B165"/>
    <mergeCell ref="B166:B206"/>
    <mergeCell ref="B212:B252"/>
    <mergeCell ref="B253:B293"/>
    <mergeCell ref="B294:B334"/>
    <mergeCell ref="B335:B375"/>
    <mergeCell ref="B380:B386"/>
    <mergeCell ref="B389:B395"/>
    <mergeCell ref="B399:B405"/>
    <mergeCell ref="C3:C8"/>
    <mergeCell ref="C9:C12"/>
    <mergeCell ref="C13:C17"/>
    <mergeCell ref="C18:C21"/>
    <mergeCell ref="C23:C28"/>
    <mergeCell ref="C29:C32"/>
    <mergeCell ref="C33:C37"/>
    <mergeCell ref="C38:C41"/>
    <mergeCell ref="C44:C49"/>
    <mergeCell ref="C50:C53"/>
    <mergeCell ref="C54:C58"/>
    <mergeCell ref="C59:C62"/>
    <mergeCell ref="C64:C69"/>
    <mergeCell ref="C70:C73"/>
    <mergeCell ref="C74:C78"/>
    <mergeCell ref="C79:C82"/>
    <mergeCell ref="C85:C90"/>
    <mergeCell ref="C91:C94"/>
    <mergeCell ref="C95:C99"/>
    <mergeCell ref="C100:C103"/>
    <mergeCell ref="C105:C110"/>
    <mergeCell ref="C111:C114"/>
    <mergeCell ref="C115:C119"/>
    <mergeCell ref="C120:C123"/>
    <mergeCell ref="C126:C131"/>
    <mergeCell ref="C132:C135"/>
    <mergeCell ref="C136:C140"/>
    <mergeCell ref="C141:C144"/>
    <mergeCell ref="C146:C151"/>
    <mergeCell ref="C152:C155"/>
    <mergeCell ref="C156:C160"/>
    <mergeCell ref="C161:C164"/>
    <mergeCell ref="C167:C172"/>
    <mergeCell ref="C173:C176"/>
    <mergeCell ref="C177:C181"/>
    <mergeCell ref="C182:C185"/>
    <mergeCell ref="C187:C192"/>
    <mergeCell ref="C193:C196"/>
    <mergeCell ref="C197:C201"/>
    <mergeCell ref="C202:C205"/>
    <mergeCell ref="C213:C218"/>
    <mergeCell ref="C219:C222"/>
    <mergeCell ref="C223:C227"/>
    <mergeCell ref="C228:C231"/>
    <mergeCell ref="C233:C238"/>
    <mergeCell ref="C239:C242"/>
    <mergeCell ref="C243:C247"/>
    <mergeCell ref="C248:C251"/>
    <mergeCell ref="C254:C259"/>
    <mergeCell ref="C260:C263"/>
    <mergeCell ref="C264:C268"/>
    <mergeCell ref="C269:C272"/>
    <mergeCell ref="C274:C279"/>
    <mergeCell ref="C280:C283"/>
    <mergeCell ref="C284:C288"/>
    <mergeCell ref="C289:C292"/>
    <mergeCell ref="C295:C300"/>
    <mergeCell ref="C301:C304"/>
    <mergeCell ref="C305:C309"/>
    <mergeCell ref="C310:C313"/>
    <mergeCell ref="C315:C320"/>
    <mergeCell ref="C321:C324"/>
    <mergeCell ref="C325:C329"/>
    <mergeCell ref="C330:C333"/>
    <mergeCell ref="C336:C341"/>
    <mergeCell ref="C342:C345"/>
    <mergeCell ref="C346:C350"/>
    <mergeCell ref="C351:C354"/>
    <mergeCell ref="C356:C361"/>
    <mergeCell ref="C362:C365"/>
    <mergeCell ref="C366:C370"/>
    <mergeCell ref="C371:C374"/>
    <mergeCell ref="I380:I386"/>
    <mergeCell ref="I387:I390"/>
    <mergeCell ref="I393:I399"/>
  </mergeCells>
  <hyperlinks>
    <hyperlink ref="H1" r:id="rId1" display="https://medium.com/@pashashaik/a-guide-to-hand-calculating-flops-and-macs-fa5221ce5ccc"/>
    <hyperlink ref="I376" r:id="rId2" display="https://chatgpt.com/c/67c2d4fe-0e5c-8007-80a6-5c7252968d4c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7"/>
  <sheetViews>
    <sheetView topLeftCell="A271" workbookViewId="0">
      <selection activeCell="D288" sqref="D288"/>
    </sheetView>
  </sheetViews>
  <sheetFormatPr defaultColWidth="8.88888888888889" defaultRowHeight="14.4" outlineLevelCol="5"/>
  <cols>
    <col min="3" max="3" width="12.8888888888889" customWidth="1"/>
    <col min="4" max="4" width="12.3333333333333" customWidth="1"/>
    <col min="6" max="6" width="11.7777777777778"/>
  </cols>
  <sheetData>
    <row r="1" spans="1:1">
      <c r="A1" s="1" t="s">
        <v>38</v>
      </c>
    </row>
    <row r="2" spans="1:5">
      <c r="A2" s="1"/>
      <c r="B2" s="2" t="s">
        <v>39</v>
      </c>
      <c r="C2" s="3"/>
      <c r="D2" s="3" t="s">
        <v>40</v>
      </c>
      <c r="E2" s="3"/>
    </row>
    <row r="3" spans="1:5">
      <c r="A3" s="1"/>
      <c r="B3" s="2"/>
      <c r="C3" s="2" t="s">
        <v>41</v>
      </c>
      <c r="D3" s="3"/>
      <c r="E3" s="3"/>
    </row>
    <row r="4" spans="1:6">
      <c r="A4" s="1"/>
      <c r="B4" s="2"/>
      <c r="C4" s="2"/>
      <c r="D4" s="3" t="s">
        <v>8</v>
      </c>
      <c r="E4" s="3">
        <v>128</v>
      </c>
      <c r="F4">
        <f>2*PRODUCT(E4:E9)</f>
        <v>56623104</v>
      </c>
    </row>
    <row r="5" spans="1:5">
      <c r="A5" s="1"/>
      <c r="B5" s="2"/>
      <c r="C5" s="2"/>
      <c r="D5" s="3" t="s">
        <v>9</v>
      </c>
      <c r="E5" s="3">
        <v>128</v>
      </c>
    </row>
    <row r="6" spans="1:5">
      <c r="A6" s="1"/>
      <c r="B6" s="2"/>
      <c r="C6" s="2"/>
      <c r="D6" s="3" t="s">
        <v>15</v>
      </c>
      <c r="E6" s="3">
        <v>64</v>
      </c>
    </row>
    <row r="7" spans="1:5">
      <c r="A7" s="1"/>
      <c r="B7" s="2"/>
      <c r="C7" s="2"/>
      <c r="D7" s="3" t="s">
        <v>34</v>
      </c>
      <c r="E7" s="3">
        <v>3</v>
      </c>
    </row>
    <row r="8" spans="1:5">
      <c r="A8" s="1"/>
      <c r="B8" s="2"/>
      <c r="C8" s="2"/>
      <c r="D8" s="3" t="s">
        <v>6</v>
      </c>
      <c r="E8" s="3">
        <v>3</v>
      </c>
    </row>
    <row r="9" spans="1:5">
      <c r="A9" s="1"/>
      <c r="B9" s="2"/>
      <c r="C9" s="2"/>
      <c r="D9" s="3" t="s">
        <v>7</v>
      </c>
      <c r="E9" s="3">
        <v>3</v>
      </c>
    </row>
    <row r="10" spans="1:5">
      <c r="A10" s="1"/>
      <c r="B10" s="2"/>
      <c r="C10" s="2" t="s">
        <v>16</v>
      </c>
      <c r="D10" s="3"/>
      <c r="E10" s="3"/>
    </row>
    <row r="11" spans="1:6">
      <c r="A11" s="1"/>
      <c r="B11" s="2"/>
      <c r="C11" s="2"/>
      <c r="D11" s="3" t="s">
        <v>11</v>
      </c>
      <c r="E11" s="3">
        <v>128</v>
      </c>
      <c r="F11">
        <f>PRODUCT(E11:E13)</f>
        <v>1048576</v>
      </c>
    </row>
    <row r="12" spans="1:5">
      <c r="A12" s="1"/>
      <c r="B12" s="2"/>
      <c r="C12" s="2"/>
      <c r="D12" s="3" t="s">
        <v>12</v>
      </c>
      <c r="E12" s="3">
        <v>128</v>
      </c>
    </row>
    <row r="13" spans="1:5">
      <c r="A13" s="1"/>
      <c r="B13" s="2"/>
      <c r="C13" s="2"/>
      <c r="D13" s="3" t="s">
        <v>13</v>
      </c>
      <c r="E13" s="3">
        <v>64</v>
      </c>
    </row>
    <row r="14" spans="1:5">
      <c r="A14" s="1"/>
      <c r="B14" s="2"/>
      <c r="C14" s="2" t="s">
        <v>41</v>
      </c>
      <c r="D14" s="3"/>
      <c r="E14" s="3"/>
    </row>
    <row r="15" spans="1:6">
      <c r="A15" s="1"/>
      <c r="B15" s="2"/>
      <c r="C15" s="2"/>
      <c r="D15" s="3" t="s">
        <v>8</v>
      </c>
      <c r="E15" s="3">
        <v>128</v>
      </c>
      <c r="F15">
        <f>2*PRODUCT(E15:E20)</f>
        <v>1207959552</v>
      </c>
    </row>
    <row r="16" spans="1:5">
      <c r="A16" s="1"/>
      <c r="B16" s="2"/>
      <c r="C16" s="2"/>
      <c r="D16" s="3" t="s">
        <v>9</v>
      </c>
      <c r="E16" s="3">
        <v>128</v>
      </c>
    </row>
    <row r="17" spans="1:5">
      <c r="A17" s="1"/>
      <c r="B17" s="2"/>
      <c r="C17" s="2"/>
      <c r="D17" s="3" t="s">
        <v>15</v>
      </c>
      <c r="E17" s="3">
        <v>64</v>
      </c>
    </row>
    <row r="18" spans="1:5">
      <c r="A18" s="1"/>
      <c r="B18" s="2"/>
      <c r="C18" s="2"/>
      <c r="D18" s="3" t="s">
        <v>34</v>
      </c>
      <c r="E18" s="3">
        <v>64</v>
      </c>
    </row>
    <row r="19" spans="1:5">
      <c r="A19" s="1"/>
      <c r="B19" s="2"/>
      <c r="C19" s="2"/>
      <c r="D19" s="3" t="s">
        <v>6</v>
      </c>
      <c r="E19" s="3">
        <v>3</v>
      </c>
    </row>
    <row r="20" spans="1:5">
      <c r="A20" s="1"/>
      <c r="B20" s="2"/>
      <c r="C20" s="2"/>
      <c r="D20" s="3" t="s">
        <v>7</v>
      </c>
      <c r="E20" s="3">
        <v>3</v>
      </c>
    </row>
    <row r="21" spans="1:5">
      <c r="A21" s="1"/>
      <c r="B21" s="2"/>
      <c r="C21" s="2" t="s">
        <v>16</v>
      </c>
      <c r="D21" s="3"/>
      <c r="E21" s="3"/>
    </row>
    <row r="22" spans="1:6">
      <c r="A22" s="1"/>
      <c r="B22" s="2"/>
      <c r="C22" s="2"/>
      <c r="D22" s="3" t="s">
        <v>11</v>
      </c>
      <c r="E22" s="3">
        <v>128</v>
      </c>
      <c r="F22">
        <f>PRODUCT(E22:E24)</f>
        <v>1048576</v>
      </c>
    </row>
    <row r="23" spans="1:5">
      <c r="A23" s="1"/>
      <c r="B23" s="2"/>
      <c r="C23" s="2"/>
      <c r="D23" s="3" t="s">
        <v>12</v>
      </c>
      <c r="E23" s="3">
        <v>128</v>
      </c>
    </row>
    <row r="24" spans="1:5">
      <c r="A24" s="1"/>
      <c r="B24" s="2"/>
      <c r="C24" s="2"/>
      <c r="D24" s="3" t="s">
        <v>13</v>
      </c>
      <c r="E24" s="3">
        <v>64</v>
      </c>
    </row>
    <row r="25" spans="1:6">
      <c r="A25" s="1"/>
      <c r="B25" s="2"/>
      <c r="C25" s="3"/>
      <c r="D25" s="3"/>
      <c r="E25" s="3"/>
      <c r="F25" s="4">
        <f>SUM(F4,F11,F15,F22)</f>
        <v>1266679808</v>
      </c>
    </row>
    <row r="26" spans="1:1">
      <c r="A26" s="1"/>
    </row>
    <row r="27" spans="1:1">
      <c r="A27" s="1"/>
    </row>
    <row r="28" spans="1:5">
      <c r="A28" s="1"/>
      <c r="B28" s="2" t="s">
        <v>42</v>
      </c>
      <c r="C28" s="3"/>
      <c r="D28" s="3" t="s">
        <v>18</v>
      </c>
      <c r="E28" s="3"/>
    </row>
    <row r="29" spans="1:5">
      <c r="A29" s="1"/>
      <c r="B29" s="2"/>
      <c r="C29" s="2" t="s">
        <v>33</v>
      </c>
      <c r="D29" s="3"/>
      <c r="E29" s="3"/>
    </row>
    <row r="30" spans="1:6">
      <c r="A30" s="1"/>
      <c r="B30" s="2"/>
      <c r="C30" s="2"/>
      <c r="D30" s="3" t="s">
        <v>8</v>
      </c>
      <c r="E30" s="3">
        <v>64</v>
      </c>
      <c r="F30">
        <f>2*PRODUCT(E30:E35)</f>
        <v>603979776</v>
      </c>
    </row>
    <row r="31" spans="1:5">
      <c r="A31" s="1"/>
      <c r="B31" s="2"/>
      <c r="C31" s="2"/>
      <c r="D31" s="3" t="s">
        <v>9</v>
      </c>
      <c r="E31" s="3">
        <v>64</v>
      </c>
    </row>
    <row r="32" spans="1:5">
      <c r="A32" s="1"/>
      <c r="B32" s="2"/>
      <c r="C32" s="2"/>
      <c r="D32" s="3" t="s">
        <v>15</v>
      </c>
      <c r="E32" s="3">
        <v>128</v>
      </c>
    </row>
    <row r="33" spans="1:5">
      <c r="A33" s="1"/>
      <c r="B33" s="2"/>
      <c r="C33" s="2"/>
      <c r="D33" s="3" t="s">
        <v>34</v>
      </c>
      <c r="E33" s="3">
        <v>64</v>
      </c>
    </row>
    <row r="34" spans="1:5">
      <c r="A34" s="1"/>
      <c r="B34" s="2"/>
      <c r="C34" s="2"/>
      <c r="D34" s="3" t="s">
        <v>6</v>
      </c>
      <c r="E34" s="3">
        <v>3</v>
      </c>
    </row>
    <row r="35" spans="1:5">
      <c r="A35" s="1"/>
      <c r="B35" s="2"/>
      <c r="C35" s="2"/>
      <c r="D35" s="3" t="s">
        <v>7</v>
      </c>
      <c r="E35" s="3">
        <v>3</v>
      </c>
    </row>
    <row r="36" spans="1:5">
      <c r="A36" s="1"/>
      <c r="B36" s="2"/>
      <c r="C36" s="2" t="s">
        <v>16</v>
      </c>
      <c r="D36" s="3"/>
      <c r="E36" s="3"/>
    </row>
    <row r="37" spans="1:6">
      <c r="A37" s="1"/>
      <c r="B37" s="2"/>
      <c r="C37" s="2"/>
      <c r="D37" s="3" t="s">
        <v>11</v>
      </c>
      <c r="E37" s="3">
        <v>64</v>
      </c>
      <c r="F37">
        <f>PRODUCT(E37:E39)</f>
        <v>524288</v>
      </c>
    </row>
    <row r="38" spans="1:5">
      <c r="A38" s="1"/>
      <c r="B38" s="2"/>
      <c r="C38" s="2"/>
      <c r="D38" s="3" t="s">
        <v>12</v>
      </c>
      <c r="E38" s="3">
        <v>64</v>
      </c>
    </row>
    <row r="39" spans="1:5">
      <c r="A39" s="1"/>
      <c r="B39" s="2"/>
      <c r="C39" s="2"/>
      <c r="D39" s="3" t="s">
        <v>13</v>
      </c>
      <c r="E39" s="3">
        <v>128</v>
      </c>
    </row>
    <row r="40" spans="1:5">
      <c r="A40" s="1"/>
      <c r="B40" s="2"/>
      <c r="C40" s="2" t="s">
        <v>33</v>
      </c>
      <c r="D40" s="3"/>
      <c r="E40" s="3"/>
    </row>
    <row r="41" spans="1:6">
      <c r="A41" s="1"/>
      <c r="B41" s="2"/>
      <c r="C41" s="2"/>
      <c r="D41" s="3" t="s">
        <v>8</v>
      </c>
      <c r="E41" s="3">
        <v>64</v>
      </c>
      <c r="F41">
        <f>2*PRODUCT(E41:E46)</f>
        <v>1207959552</v>
      </c>
    </row>
    <row r="42" spans="1:5">
      <c r="A42" s="1"/>
      <c r="B42" s="2"/>
      <c r="C42" s="2"/>
      <c r="D42" s="3" t="s">
        <v>9</v>
      </c>
      <c r="E42" s="3">
        <v>64</v>
      </c>
    </row>
    <row r="43" spans="1:5">
      <c r="A43" s="1"/>
      <c r="B43" s="2"/>
      <c r="C43" s="2"/>
      <c r="D43" s="3" t="s">
        <v>15</v>
      </c>
      <c r="E43" s="3">
        <v>128</v>
      </c>
    </row>
    <row r="44" spans="1:5">
      <c r="A44" s="1"/>
      <c r="B44" s="2"/>
      <c r="C44" s="2"/>
      <c r="D44" s="3" t="s">
        <v>34</v>
      </c>
      <c r="E44" s="3">
        <v>128</v>
      </c>
    </row>
    <row r="45" spans="1:5">
      <c r="A45" s="1"/>
      <c r="B45" s="2"/>
      <c r="C45" s="2"/>
      <c r="D45" s="3" t="s">
        <v>6</v>
      </c>
      <c r="E45" s="3">
        <v>3</v>
      </c>
    </row>
    <row r="46" spans="1:5">
      <c r="A46" s="1"/>
      <c r="B46" s="2"/>
      <c r="C46" s="2"/>
      <c r="D46" s="3" t="s">
        <v>7</v>
      </c>
      <c r="E46" s="3">
        <v>3</v>
      </c>
    </row>
    <row r="47" spans="1:5">
      <c r="A47" s="1"/>
      <c r="B47" s="2"/>
      <c r="C47" s="2" t="s">
        <v>16</v>
      </c>
      <c r="D47" s="3"/>
      <c r="E47" s="3"/>
    </row>
    <row r="48" spans="1:6">
      <c r="A48" s="1"/>
      <c r="B48" s="2"/>
      <c r="C48" s="2"/>
      <c r="D48" s="3" t="s">
        <v>11</v>
      </c>
      <c r="E48" s="3">
        <v>64</v>
      </c>
      <c r="F48">
        <f>PRODUCT(E48:E50)</f>
        <v>524288</v>
      </c>
    </row>
    <row r="49" spans="1:5">
      <c r="A49" s="1"/>
      <c r="B49" s="2"/>
      <c r="C49" s="2"/>
      <c r="D49" s="3" t="s">
        <v>12</v>
      </c>
      <c r="E49" s="3">
        <v>64</v>
      </c>
    </row>
    <row r="50" spans="1:5">
      <c r="A50" s="1"/>
      <c r="B50" s="2"/>
      <c r="C50" s="2"/>
      <c r="D50" s="3" t="s">
        <v>13</v>
      </c>
      <c r="E50" s="3">
        <v>128</v>
      </c>
    </row>
    <row r="51" spans="1:6">
      <c r="A51" s="1"/>
      <c r="B51" s="2"/>
      <c r="C51" s="3"/>
      <c r="D51" s="3"/>
      <c r="E51" s="3"/>
      <c r="F51" s="4">
        <f>SUM(F30,F37,F41,F48)</f>
        <v>1812987904</v>
      </c>
    </row>
    <row r="52" spans="1:1">
      <c r="A52" s="1"/>
    </row>
    <row r="53" spans="1:1">
      <c r="A53" s="1"/>
    </row>
    <row r="54" spans="1:5">
      <c r="A54" s="1"/>
      <c r="B54" s="2" t="s">
        <v>43</v>
      </c>
      <c r="C54" s="3"/>
      <c r="D54" s="3" t="s">
        <v>21</v>
      </c>
      <c r="E54" s="3"/>
    </row>
    <row r="55" spans="1:5">
      <c r="A55" s="1"/>
      <c r="B55" s="2"/>
      <c r="C55" s="2" t="s">
        <v>44</v>
      </c>
      <c r="D55" s="3"/>
      <c r="E55" s="3"/>
    </row>
    <row r="56" spans="1:6">
      <c r="A56" s="1"/>
      <c r="B56" s="2"/>
      <c r="C56" s="2"/>
      <c r="D56" s="3" t="s">
        <v>8</v>
      </c>
      <c r="E56" s="3">
        <v>32</v>
      </c>
      <c r="F56">
        <f>2*PRODUCT(E56:E61)</f>
        <v>603979776</v>
      </c>
    </row>
    <row r="57" spans="1:5">
      <c r="A57" s="1"/>
      <c r="B57" s="2"/>
      <c r="C57" s="2"/>
      <c r="D57" s="3" t="s">
        <v>9</v>
      </c>
      <c r="E57" s="3">
        <v>32</v>
      </c>
    </row>
    <row r="58" spans="1:5">
      <c r="A58" s="1"/>
      <c r="B58" s="2"/>
      <c r="C58" s="2"/>
      <c r="D58" s="3" t="s">
        <v>15</v>
      </c>
      <c r="E58" s="3">
        <v>256</v>
      </c>
    </row>
    <row r="59" spans="1:5">
      <c r="A59" s="1"/>
      <c r="B59" s="2"/>
      <c r="C59" s="2"/>
      <c r="D59" s="3" t="s">
        <v>34</v>
      </c>
      <c r="E59" s="3">
        <v>128</v>
      </c>
    </row>
    <row r="60" spans="1:5">
      <c r="A60" s="1"/>
      <c r="B60" s="2"/>
      <c r="C60" s="2"/>
      <c r="D60" s="3" t="s">
        <v>6</v>
      </c>
      <c r="E60" s="3">
        <v>3</v>
      </c>
    </row>
    <row r="61" spans="1:5">
      <c r="A61" s="1"/>
      <c r="B61" s="2"/>
      <c r="C61" s="2"/>
      <c r="D61" s="3" t="s">
        <v>7</v>
      </c>
      <c r="E61" s="3">
        <v>3</v>
      </c>
    </row>
    <row r="62" spans="1:5">
      <c r="A62" s="1"/>
      <c r="B62" s="2"/>
      <c r="C62" s="2" t="s">
        <v>16</v>
      </c>
      <c r="D62" s="3"/>
      <c r="E62" s="3"/>
    </row>
    <row r="63" spans="1:6">
      <c r="A63" s="1"/>
      <c r="B63" s="2"/>
      <c r="C63" s="2"/>
      <c r="D63" s="3" t="s">
        <v>11</v>
      </c>
      <c r="E63" s="3">
        <v>32</v>
      </c>
      <c r="F63">
        <f>PRODUCT(E63:E65)</f>
        <v>262144</v>
      </c>
    </row>
    <row r="64" spans="1:5">
      <c r="A64" s="1"/>
      <c r="B64" s="2"/>
      <c r="C64" s="2"/>
      <c r="D64" s="3" t="s">
        <v>12</v>
      </c>
      <c r="E64" s="3">
        <v>32</v>
      </c>
    </row>
    <row r="65" spans="1:5">
      <c r="A65" s="1"/>
      <c r="B65" s="2"/>
      <c r="C65" s="2"/>
      <c r="D65" s="3" t="s">
        <v>13</v>
      </c>
      <c r="E65" s="3">
        <v>256</v>
      </c>
    </row>
    <row r="66" spans="1:5">
      <c r="A66" s="1"/>
      <c r="B66" s="2"/>
      <c r="C66" s="2" t="s">
        <v>44</v>
      </c>
      <c r="D66" s="3"/>
      <c r="E66" s="3"/>
    </row>
    <row r="67" spans="1:6">
      <c r="A67" s="1"/>
      <c r="B67" s="2"/>
      <c r="C67" s="2"/>
      <c r="D67" s="3" t="s">
        <v>8</v>
      </c>
      <c r="E67" s="3">
        <v>32</v>
      </c>
      <c r="F67">
        <f>2*PRODUCT(E67:E72)</f>
        <v>1207959552</v>
      </c>
    </row>
    <row r="68" spans="1:5">
      <c r="A68" s="1"/>
      <c r="B68" s="2"/>
      <c r="C68" s="2"/>
      <c r="D68" s="3" t="s">
        <v>9</v>
      </c>
      <c r="E68" s="3">
        <v>32</v>
      </c>
    </row>
    <row r="69" spans="1:5">
      <c r="A69" s="1"/>
      <c r="B69" s="2"/>
      <c r="C69" s="2"/>
      <c r="D69" s="3" t="s">
        <v>15</v>
      </c>
      <c r="E69" s="3">
        <v>256</v>
      </c>
    </row>
    <row r="70" spans="1:5">
      <c r="A70" s="1"/>
      <c r="B70" s="2"/>
      <c r="C70" s="2"/>
      <c r="D70" s="3" t="s">
        <v>34</v>
      </c>
      <c r="E70" s="3">
        <v>256</v>
      </c>
    </row>
    <row r="71" spans="1:5">
      <c r="A71" s="1"/>
      <c r="B71" s="2"/>
      <c r="C71" s="2"/>
      <c r="D71" s="3" t="s">
        <v>6</v>
      </c>
      <c r="E71" s="3">
        <v>3</v>
      </c>
    </row>
    <row r="72" spans="1:5">
      <c r="A72" s="1"/>
      <c r="B72" s="2"/>
      <c r="C72" s="2"/>
      <c r="D72" s="3" t="s">
        <v>7</v>
      </c>
      <c r="E72" s="3">
        <v>3</v>
      </c>
    </row>
    <row r="73" spans="1:5">
      <c r="A73" s="1"/>
      <c r="B73" s="2"/>
      <c r="C73" s="2" t="s">
        <v>16</v>
      </c>
      <c r="D73" s="3"/>
      <c r="E73" s="3"/>
    </row>
    <row r="74" spans="1:6">
      <c r="A74" s="1"/>
      <c r="B74" s="2"/>
      <c r="C74" s="2"/>
      <c r="D74" s="3" t="s">
        <v>11</v>
      </c>
      <c r="E74" s="3">
        <v>32</v>
      </c>
      <c r="F74">
        <f>PRODUCT(E74:E76)</f>
        <v>262144</v>
      </c>
    </row>
    <row r="75" spans="1:5">
      <c r="A75" s="1"/>
      <c r="B75" s="2"/>
      <c r="C75" s="2"/>
      <c r="D75" s="3" t="s">
        <v>12</v>
      </c>
      <c r="E75" s="3">
        <v>32</v>
      </c>
    </row>
    <row r="76" spans="1:5">
      <c r="A76" s="1"/>
      <c r="B76" s="2"/>
      <c r="C76" s="2"/>
      <c r="D76" s="3" t="s">
        <v>13</v>
      </c>
      <c r="E76" s="3">
        <v>256</v>
      </c>
    </row>
    <row r="77" spans="1:6">
      <c r="A77" s="1"/>
      <c r="B77" s="2"/>
      <c r="C77" s="3"/>
      <c r="D77" s="3"/>
      <c r="E77" s="3"/>
      <c r="F77" s="4">
        <f>SUM(F56,F63,F67,F74)</f>
        <v>1812463616</v>
      </c>
    </row>
    <row r="78" spans="1:1">
      <c r="A78" s="1"/>
    </row>
    <row r="79" spans="1:1">
      <c r="A79" s="1"/>
    </row>
    <row r="80" spans="1:5">
      <c r="A80" s="1"/>
      <c r="B80" s="2" t="s">
        <v>45</v>
      </c>
      <c r="C80" s="3"/>
      <c r="D80" s="3" t="s">
        <v>24</v>
      </c>
      <c r="E80" s="3"/>
    </row>
    <row r="81" spans="1:5">
      <c r="A81" s="1"/>
      <c r="B81" s="2"/>
      <c r="C81" s="2" t="s">
        <v>46</v>
      </c>
      <c r="D81" s="3"/>
      <c r="E81" s="3"/>
    </row>
    <row r="82" spans="1:6">
      <c r="A82" s="1"/>
      <c r="B82" s="2"/>
      <c r="C82" s="2"/>
      <c r="D82" s="3" t="s">
        <v>8</v>
      </c>
      <c r="E82" s="3">
        <v>16</v>
      </c>
      <c r="F82">
        <f>2*PRODUCT(E82:E87)</f>
        <v>603979776</v>
      </c>
    </row>
    <row r="83" spans="1:5">
      <c r="A83" s="1"/>
      <c r="B83" s="2"/>
      <c r="C83" s="2"/>
      <c r="D83" s="3" t="s">
        <v>9</v>
      </c>
      <c r="E83" s="3">
        <v>16</v>
      </c>
    </row>
    <row r="84" spans="1:5">
      <c r="A84" s="1"/>
      <c r="B84" s="2"/>
      <c r="C84" s="2"/>
      <c r="D84" s="3" t="s">
        <v>15</v>
      </c>
      <c r="E84" s="3">
        <v>512</v>
      </c>
    </row>
    <row r="85" spans="1:5">
      <c r="A85" s="1"/>
      <c r="B85" s="2"/>
      <c r="C85" s="2"/>
      <c r="D85" s="3" t="s">
        <v>34</v>
      </c>
      <c r="E85" s="3">
        <v>256</v>
      </c>
    </row>
    <row r="86" spans="1:5">
      <c r="A86" s="1"/>
      <c r="B86" s="2"/>
      <c r="C86" s="2"/>
      <c r="D86" s="3" t="s">
        <v>6</v>
      </c>
      <c r="E86" s="3">
        <v>3</v>
      </c>
    </row>
    <row r="87" spans="1:5">
      <c r="A87" s="1"/>
      <c r="B87" s="2"/>
      <c r="C87" s="2"/>
      <c r="D87" s="3" t="s">
        <v>7</v>
      </c>
      <c r="E87" s="3">
        <v>3</v>
      </c>
    </row>
    <row r="88" spans="1:5">
      <c r="A88" s="1"/>
      <c r="B88" s="2"/>
      <c r="C88" s="2" t="s">
        <v>16</v>
      </c>
      <c r="D88" s="3"/>
      <c r="E88" s="3"/>
    </row>
    <row r="89" spans="1:6">
      <c r="A89" s="1"/>
      <c r="B89" s="2"/>
      <c r="C89" s="2"/>
      <c r="D89" s="3" t="s">
        <v>11</v>
      </c>
      <c r="E89" s="3">
        <v>16</v>
      </c>
      <c r="F89">
        <f>PRODUCT(E89:E91)</f>
        <v>131072</v>
      </c>
    </row>
    <row r="90" spans="1:5">
      <c r="A90" s="1"/>
      <c r="B90" s="2"/>
      <c r="C90" s="2"/>
      <c r="D90" s="3" t="s">
        <v>12</v>
      </c>
      <c r="E90" s="3">
        <v>16</v>
      </c>
    </row>
    <row r="91" spans="1:5">
      <c r="A91" s="1"/>
      <c r="B91" s="2"/>
      <c r="C91" s="2"/>
      <c r="D91" s="3" t="s">
        <v>13</v>
      </c>
      <c r="E91" s="3">
        <v>512</v>
      </c>
    </row>
    <row r="92" spans="1:5">
      <c r="A92" s="1"/>
      <c r="B92" s="2"/>
      <c r="C92" s="2" t="s">
        <v>46</v>
      </c>
      <c r="D92" s="3"/>
      <c r="E92" s="3"/>
    </row>
    <row r="93" spans="1:6">
      <c r="A93" s="1"/>
      <c r="B93" s="2"/>
      <c r="C93" s="2"/>
      <c r="D93" s="3" t="s">
        <v>8</v>
      </c>
      <c r="E93" s="3">
        <v>16</v>
      </c>
      <c r="F93">
        <f>2*PRODUCT(E93:E98)</f>
        <v>1207959552</v>
      </c>
    </row>
    <row r="94" spans="1:5">
      <c r="A94" s="1"/>
      <c r="B94" s="2"/>
      <c r="C94" s="2"/>
      <c r="D94" s="3" t="s">
        <v>9</v>
      </c>
      <c r="E94" s="3">
        <v>16</v>
      </c>
    </row>
    <row r="95" spans="1:5">
      <c r="A95" s="1"/>
      <c r="B95" s="2"/>
      <c r="C95" s="2"/>
      <c r="D95" s="3" t="s">
        <v>15</v>
      </c>
      <c r="E95" s="3">
        <v>512</v>
      </c>
    </row>
    <row r="96" spans="1:5">
      <c r="A96" s="1"/>
      <c r="B96" s="2"/>
      <c r="C96" s="2"/>
      <c r="D96" s="3" t="s">
        <v>34</v>
      </c>
      <c r="E96" s="3">
        <v>512</v>
      </c>
    </row>
    <row r="97" spans="1:5">
      <c r="A97" s="1"/>
      <c r="B97" s="2"/>
      <c r="C97" s="2"/>
      <c r="D97" s="3" t="s">
        <v>6</v>
      </c>
      <c r="E97" s="3">
        <v>3</v>
      </c>
    </row>
    <row r="98" spans="1:5">
      <c r="A98" s="1"/>
      <c r="B98" s="2"/>
      <c r="C98" s="2"/>
      <c r="D98" s="3" t="s">
        <v>7</v>
      </c>
      <c r="E98" s="3">
        <v>3</v>
      </c>
    </row>
    <row r="99" spans="1:5">
      <c r="A99" s="1"/>
      <c r="B99" s="2"/>
      <c r="C99" s="2" t="s">
        <v>16</v>
      </c>
      <c r="D99" s="3"/>
      <c r="E99" s="3"/>
    </row>
    <row r="100" spans="1:6">
      <c r="A100" s="1"/>
      <c r="B100" s="2"/>
      <c r="C100" s="2"/>
      <c r="D100" s="3" t="s">
        <v>11</v>
      </c>
      <c r="E100" s="3">
        <v>16</v>
      </c>
      <c r="F100">
        <f>PRODUCT(E100:E102)</f>
        <v>131072</v>
      </c>
    </row>
    <row r="101" spans="1:5">
      <c r="A101" s="1"/>
      <c r="B101" s="2"/>
      <c r="C101" s="2"/>
      <c r="D101" s="3" t="s">
        <v>12</v>
      </c>
      <c r="E101" s="3">
        <v>16</v>
      </c>
    </row>
    <row r="102" spans="1:5">
      <c r="A102" s="1"/>
      <c r="B102" s="2"/>
      <c r="C102" s="2"/>
      <c r="D102" s="3" t="s">
        <v>13</v>
      </c>
      <c r="E102" s="3">
        <v>512</v>
      </c>
    </row>
    <row r="103" spans="1:6">
      <c r="A103" s="1"/>
      <c r="B103" s="2"/>
      <c r="C103" s="3"/>
      <c r="D103" s="3"/>
      <c r="E103" s="3"/>
      <c r="F103" s="4">
        <f>SUM(F82,F89,F93,F100)</f>
        <v>1812201472</v>
      </c>
    </row>
    <row r="104" spans="1:1">
      <c r="A104" s="1"/>
    </row>
    <row r="105" spans="1:1">
      <c r="A105" s="1"/>
    </row>
    <row r="106" spans="1:5">
      <c r="A106" s="1"/>
      <c r="B106" s="2" t="s">
        <v>47</v>
      </c>
      <c r="C106" s="3"/>
      <c r="D106" s="3" t="s">
        <v>27</v>
      </c>
      <c r="E106" s="3"/>
    </row>
    <row r="107" spans="1:5">
      <c r="A107" s="1"/>
      <c r="B107" s="2"/>
      <c r="C107" s="2" t="s">
        <v>48</v>
      </c>
      <c r="D107" s="3"/>
      <c r="E107" s="3"/>
    </row>
    <row r="108" spans="1:6">
      <c r="A108" s="1"/>
      <c r="B108" s="2"/>
      <c r="C108" s="2"/>
      <c r="D108" s="3" t="s">
        <v>8</v>
      </c>
      <c r="E108" s="3">
        <v>8</v>
      </c>
      <c r="F108">
        <f>2*PRODUCT(E108:E113)</f>
        <v>603979776</v>
      </c>
    </row>
    <row r="109" spans="1:5">
      <c r="A109" s="1"/>
      <c r="B109" s="2"/>
      <c r="C109" s="2"/>
      <c r="D109" s="3" t="s">
        <v>9</v>
      </c>
      <c r="E109" s="3">
        <v>8</v>
      </c>
    </row>
    <row r="110" spans="1:5">
      <c r="A110" s="1"/>
      <c r="B110" s="2"/>
      <c r="C110" s="2"/>
      <c r="D110" s="3" t="s">
        <v>15</v>
      </c>
      <c r="E110" s="3">
        <v>1024</v>
      </c>
    </row>
    <row r="111" spans="1:5">
      <c r="A111" s="1"/>
      <c r="B111" s="2"/>
      <c r="C111" s="2"/>
      <c r="D111" s="3" t="s">
        <v>34</v>
      </c>
      <c r="E111" s="3">
        <v>512</v>
      </c>
    </row>
    <row r="112" spans="1:5">
      <c r="A112" s="1"/>
      <c r="B112" s="2"/>
      <c r="C112" s="2"/>
      <c r="D112" s="3" t="s">
        <v>6</v>
      </c>
      <c r="E112" s="3">
        <v>3</v>
      </c>
    </row>
    <row r="113" spans="1:5">
      <c r="A113" s="1"/>
      <c r="B113" s="2"/>
      <c r="C113" s="2"/>
      <c r="D113" s="3" t="s">
        <v>7</v>
      </c>
      <c r="E113" s="3">
        <v>3</v>
      </c>
    </row>
    <row r="114" spans="1:5">
      <c r="A114" s="1"/>
      <c r="B114" s="2"/>
      <c r="C114" s="2" t="s">
        <v>16</v>
      </c>
      <c r="D114" s="3"/>
      <c r="E114" s="3"/>
    </row>
    <row r="115" spans="1:6">
      <c r="A115" s="1"/>
      <c r="B115" s="2"/>
      <c r="C115" s="2"/>
      <c r="D115" s="3" t="s">
        <v>11</v>
      </c>
      <c r="E115" s="3">
        <v>8</v>
      </c>
      <c r="F115">
        <f>PRODUCT(E115:E117)</f>
        <v>65536</v>
      </c>
    </row>
    <row r="116" spans="1:5">
      <c r="A116" s="1"/>
      <c r="B116" s="2"/>
      <c r="C116" s="2"/>
      <c r="D116" s="3" t="s">
        <v>12</v>
      </c>
      <c r="E116" s="3">
        <v>8</v>
      </c>
    </row>
    <row r="117" spans="1:5">
      <c r="A117" s="1"/>
      <c r="B117" s="2"/>
      <c r="C117" s="2"/>
      <c r="D117" s="3" t="s">
        <v>13</v>
      </c>
      <c r="E117" s="3">
        <v>1024</v>
      </c>
    </row>
    <row r="118" spans="1:5">
      <c r="A118" s="1"/>
      <c r="B118" s="2"/>
      <c r="C118" s="2" t="s">
        <v>48</v>
      </c>
      <c r="D118" s="3"/>
      <c r="E118" s="3"/>
    </row>
    <row r="119" spans="1:6">
      <c r="A119" s="1"/>
      <c r="B119" s="2"/>
      <c r="C119" s="2"/>
      <c r="D119" s="3" t="s">
        <v>8</v>
      </c>
      <c r="E119" s="3">
        <v>8</v>
      </c>
      <c r="F119">
        <f>2*PRODUCT(E119:E124)</f>
        <v>1207959552</v>
      </c>
    </row>
    <row r="120" spans="1:5">
      <c r="A120" s="1"/>
      <c r="B120" s="2"/>
      <c r="C120" s="2"/>
      <c r="D120" s="3" t="s">
        <v>9</v>
      </c>
      <c r="E120" s="3">
        <v>8</v>
      </c>
    </row>
    <row r="121" spans="1:5">
      <c r="A121" s="1"/>
      <c r="B121" s="2"/>
      <c r="C121" s="2"/>
      <c r="D121" s="3" t="s">
        <v>15</v>
      </c>
      <c r="E121" s="3">
        <v>1024</v>
      </c>
    </row>
    <row r="122" spans="1:5">
      <c r="A122" s="1"/>
      <c r="B122" s="2"/>
      <c r="C122" s="2"/>
      <c r="D122" s="3" t="s">
        <v>34</v>
      </c>
      <c r="E122" s="3">
        <v>1024</v>
      </c>
    </row>
    <row r="123" spans="1:5">
      <c r="A123" s="1"/>
      <c r="B123" s="2"/>
      <c r="C123" s="2"/>
      <c r="D123" s="3" t="s">
        <v>6</v>
      </c>
      <c r="E123" s="3">
        <v>3</v>
      </c>
    </row>
    <row r="124" spans="1:5">
      <c r="A124" s="1"/>
      <c r="B124" s="2"/>
      <c r="C124" s="2"/>
      <c r="D124" s="3" t="s">
        <v>7</v>
      </c>
      <c r="E124" s="3">
        <v>3</v>
      </c>
    </row>
    <row r="125" spans="1:5">
      <c r="A125" s="1"/>
      <c r="B125" s="2"/>
      <c r="C125" s="2" t="s">
        <v>16</v>
      </c>
      <c r="D125" s="3"/>
      <c r="E125" s="3"/>
    </row>
    <row r="126" spans="1:6">
      <c r="A126" s="1"/>
      <c r="B126" s="2"/>
      <c r="C126" s="2"/>
      <c r="D126" s="3" t="s">
        <v>11</v>
      </c>
      <c r="E126" s="3">
        <v>8</v>
      </c>
      <c r="F126">
        <f>PRODUCT(E126:E128)</f>
        <v>65536</v>
      </c>
    </row>
    <row r="127" spans="1:5">
      <c r="A127" s="1"/>
      <c r="B127" s="2"/>
      <c r="C127" s="2"/>
      <c r="D127" s="3" t="s">
        <v>12</v>
      </c>
      <c r="E127" s="3">
        <v>8</v>
      </c>
    </row>
    <row r="128" spans="1:5">
      <c r="A128" s="1"/>
      <c r="B128" s="2"/>
      <c r="C128" s="2"/>
      <c r="D128" s="3" t="s">
        <v>13</v>
      </c>
      <c r="E128" s="3">
        <v>1024</v>
      </c>
    </row>
    <row r="129" spans="1:6">
      <c r="A129" s="1"/>
      <c r="B129" s="2"/>
      <c r="C129" s="3"/>
      <c r="D129" s="3"/>
      <c r="E129" s="3"/>
      <c r="F129" s="4">
        <f>SUM(F108,F115,F119,F126)</f>
        <v>1812070400</v>
      </c>
    </row>
    <row r="134" spans="1:5">
      <c r="A134" s="7" t="s">
        <v>49</v>
      </c>
      <c r="B134" s="2" t="s">
        <v>45</v>
      </c>
      <c r="C134" s="3"/>
      <c r="D134" s="3" t="s">
        <v>24</v>
      </c>
      <c r="E134" s="3"/>
    </row>
    <row r="135" spans="1:5">
      <c r="A135" s="7"/>
      <c r="B135" s="2"/>
      <c r="C135" s="2" t="s">
        <v>46</v>
      </c>
      <c r="D135" s="3"/>
      <c r="E135" s="3"/>
    </row>
    <row r="136" spans="1:6">
      <c r="A136" s="7"/>
      <c r="B136" s="2"/>
      <c r="C136" s="2"/>
      <c r="D136" s="3" t="s">
        <v>8</v>
      </c>
      <c r="E136" s="3">
        <v>16</v>
      </c>
      <c r="F136">
        <f>2*PRODUCT(E136:E141)</f>
        <v>3623878656</v>
      </c>
    </row>
    <row r="137" spans="1:5">
      <c r="A137" s="7"/>
      <c r="B137" s="2"/>
      <c r="C137" s="2"/>
      <c r="D137" s="3" t="s">
        <v>9</v>
      </c>
      <c r="E137" s="3">
        <v>16</v>
      </c>
    </row>
    <row r="138" spans="1:5">
      <c r="A138" s="7"/>
      <c r="B138" s="2"/>
      <c r="C138" s="2"/>
      <c r="D138" s="3" t="s">
        <v>15</v>
      </c>
      <c r="E138" s="3">
        <v>512</v>
      </c>
    </row>
    <row r="139" spans="1:5">
      <c r="A139" s="7"/>
      <c r="B139" s="2"/>
      <c r="C139" s="2"/>
      <c r="D139" s="3" t="s">
        <v>34</v>
      </c>
      <c r="E139" s="5">
        <v>1536</v>
      </c>
    </row>
    <row r="140" spans="1:5">
      <c r="A140" s="7"/>
      <c r="B140" s="2"/>
      <c r="C140" s="2"/>
      <c r="D140" s="3" t="s">
        <v>6</v>
      </c>
      <c r="E140" s="3">
        <v>3</v>
      </c>
    </row>
    <row r="141" spans="1:5">
      <c r="A141" s="7"/>
      <c r="B141" s="2"/>
      <c r="C141" s="2"/>
      <c r="D141" s="3" t="s">
        <v>7</v>
      </c>
      <c r="E141" s="3">
        <v>3</v>
      </c>
    </row>
    <row r="142" spans="1:5">
      <c r="A142" s="7"/>
      <c r="B142" s="2"/>
      <c r="C142" s="2" t="s">
        <v>16</v>
      </c>
      <c r="D142" s="3"/>
      <c r="E142" s="3"/>
    </row>
    <row r="143" spans="1:6">
      <c r="A143" s="7"/>
      <c r="B143" s="2"/>
      <c r="C143" s="2"/>
      <c r="D143" s="3" t="s">
        <v>11</v>
      </c>
      <c r="E143" s="3">
        <v>16</v>
      </c>
      <c r="F143">
        <f>PRODUCT(E143:E145)</f>
        <v>131072</v>
      </c>
    </row>
    <row r="144" spans="1:5">
      <c r="A144" s="7"/>
      <c r="B144" s="2"/>
      <c r="C144" s="2"/>
      <c r="D144" s="3" t="s">
        <v>12</v>
      </c>
      <c r="E144" s="3">
        <v>16</v>
      </c>
    </row>
    <row r="145" spans="1:5">
      <c r="A145" s="7"/>
      <c r="B145" s="2"/>
      <c r="C145" s="2"/>
      <c r="D145" s="3" t="s">
        <v>13</v>
      </c>
      <c r="E145" s="3">
        <v>512</v>
      </c>
    </row>
    <row r="146" spans="1:5">
      <c r="A146" s="7"/>
      <c r="B146" s="2"/>
      <c r="C146" s="2" t="s">
        <v>46</v>
      </c>
      <c r="D146" s="3"/>
      <c r="E146" s="3"/>
    </row>
    <row r="147" spans="1:6">
      <c r="A147" s="7"/>
      <c r="B147" s="2"/>
      <c r="C147" s="2"/>
      <c r="D147" s="3" t="s">
        <v>8</v>
      </c>
      <c r="E147" s="3">
        <v>16</v>
      </c>
      <c r="F147">
        <f>2*PRODUCT(E147:E152)</f>
        <v>1207959552</v>
      </c>
    </row>
    <row r="148" spans="1:5">
      <c r="A148" s="7"/>
      <c r="B148" s="2"/>
      <c r="C148" s="2"/>
      <c r="D148" s="3" t="s">
        <v>9</v>
      </c>
      <c r="E148" s="3">
        <v>16</v>
      </c>
    </row>
    <row r="149" spans="1:5">
      <c r="A149" s="7"/>
      <c r="B149" s="2"/>
      <c r="C149" s="2"/>
      <c r="D149" s="3" t="s">
        <v>15</v>
      </c>
      <c r="E149" s="3">
        <v>512</v>
      </c>
    </row>
    <row r="150" spans="1:5">
      <c r="A150" s="7"/>
      <c r="B150" s="2"/>
      <c r="C150" s="2"/>
      <c r="D150" s="3" t="s">
        <v>34</v>
      </c>
      <c r="E150" s="3">
        <v>512</v>
      </c>
    </row>
    <row r="151" spans="1:5">
      <c r="A151" s="7"/>
      <c r="B151" s="2"/>
      <c r="C151" s="2"/>
      <c r="D151" s="3" t="s">
        <v>6</v>
      </c>
      <c r="E151" s="3">
        <v>3</v>
      </c>
    </row>
    <row r="152" spans="1:5">
      <c r="A152" s="7"/>
      <c r="B152" s="2"/>
      <c r="C152" s="2"/>
      <c r="D152" s="3" t="s">
        <v>7</v>
      </c>
      <c r="E152" s="3">
        <v>3</v>
      </c>
    </row>
    <row r="153" spans="1:5">
      <c r="A153" s="7"/>
      <c r="B153" s="2"/>
      <c r="C153" s="2" t="s">
        <v>16</v>
      </c>
      <c r="D153" s="3"/>
      <c r="E153" s="3"/>
    </row>
    <row r="154" spans="1:6">
      <c r="A154" s="7"/>
      <c r="B154" s="2"/>
      <c r="C154" s="2"/>
      <c r="D154" s="3" t="s">
        <v>11</v>
      </c>
      <c r="E154" s="3">
        <v>16</v>
      </c>
      <c r="F154">
        <f>PRODUCT(E154:E156)</f>
        <v>131072</v>
      </c>
    </row>
    <row r="155" spans="1:5">
      <c r="A155" s="7"/>
      <c r="B155" s="2"/>
      <c r="C155" s="2"/>
      <c r="D155" s="3" t="s">
        <v>12</v>
      </c>
      <c r="E155" s="3">
        <v>16</v>
      </c>
    </row>
    <row r="156" spans="1:5">
      <c r="A156" s="7"/>
      <c r="B156" s="2"/>
      <c r="C156" s="2"/>
      <c r="D156" s="3" t="s">
        <v>13</v>
      </c>
      <c r="E156" s="3">
        <v>512</v>
      </c>
    </row>
    <row r="157" spans="1:6">
      <c r="A157" s="7"/>
      <c r="B157" s="2"/>
      <c r="C157" s="3"/>
      <c r="D157" s="3"/>
      <c r="E157" s="3"/>
      <c r="F157" s="4">
        <f>SUM(F136,F143,F147,F154)</f>
        <v>4832100352</v>
      </c>
    </row>
    <row r="158" spans="1:1">
      <c r="A158" s="7"/>
    </row>
    <row r="159" spans="1:1">
      <c r="A159" s="7"/>
    </row>
    <row r="160" spans="1:5">
      <c r="A160" s="7"/>
      <c r="B160" s="2" t="s">
        <v>43</v>
      </c>
      <c r="C160" s="3"/>
      <c r="D160" s="3" t="s">
        <v>21</v>
      </c>
      <c r="E160" s="3"/>
    </row>
    <row r="161" spans="1:5">
      <c r="A161" s="7"/>
      <c r="B161" s="2"/>
      <c r="C161" s="2" t="s">
        <v>44</v>
      </c>
      <c r="D161" s="3"/>
      <c r="E161" s="3"/>
    </row>
    <row r="162" spans="1:6">
      <c r="A162" s="7"/>
      <c r="B162" s="2"/>
      <c r="C162" s="2"/>
      <c r="D162" s="3" t="s">
        <v>8</v>
      </c>
      <c r="E162" s="3">
        <v>32</v>
      </c>
      <c r="F162">
        <f>2*PRODUCT(E162:E167)</f>
        <v>3623878656</v>
      </c>
    </row>
    <row r="163" spans="1:5">
      <c r="A163" s="7"/>
      <c r="B163" s="2"/>
      <c r="C163" s="2"/>
      <c r="D163" s="3" t="s">
        <v>9</v>
      </c>
      <c r="E163" s="3">
        <v>32</v>
      </c>
    </row>
    <row r="164" spans="1:5">
      <c r="A164" s="7"/>
      <c r="B164" s="2"/>
      <c r="C164" s="2"/>
      <c r="D164" s="3" t="s">
        <v>15</v>
      </c>
      <c r="E164" s="3">
        <v>256</v>
      </c>
    </row>
    <row r="165" spans="1:5">
      <c r="A165" s="7"/>
      <c r="B165" s="2"/>
      <c r="C165" s="2"/>
      <c r="D165" s="3" t="s">
        <v>34</v>
      </c>
      <c r="E165" s="5">
        <v>768</v>
      </c>
    </row>
    <row r="166" spans="1:5">
      <c r="A166" s="7"/>
      <c r="B166" s="2"/>
      <c r="C166" s="2"/>
      <c r="D166" s="3" t="s">
        <v>6</v>
      </c>
      <c r="E166" s="3">
        <v>3</v>
      </c>
    </row>
    <row r="167" spans="1:5">
      <c r="A167" s="7"/>
      <c r="B167" s="2"/>
      <c r="C167" s="2"/>
      <c r="D167" s="3" t="s">
        <v>7</v>
      </c>
      <c r="E167" s="3">
        <v>3</v>
      </c>
    </row>
    <row r="168" spans="1:5">
      <c r="A168" s="7"/>
      <c r="B168" s="2"/>
      <c r="C168" s="2" t="s">
        <v>16</v>
      </c>
      <c r="D168" s="3"/>
      <c r="E168" s="3"/>
    </row>
    <row r="169" spans="1:6">
      <c r="A169" s="7"/>
      <c r="B169" s="2"/>
      <c r="C169" s="2"/>
      <c r="D169" s="3" t="s">
        <v>11</v>
      </c>
      <c r="E169" s="3">
        <v>32</v>
      </c>
      <c r="F169">
        <f>PRODUCT(E169:E171)</f>
        <v>262144</v>
      </c>
    </row>
    <row r="170" spans="1:5">
      <c r="A170" s="7"/>
      <c r="B170" s="2"/>
      <c r="C170" s="2"/>
      <c r="D170" s="3" t="s">
        <v>12</v>
      </c>
      <c r="E170" s="3">
        <v>32</v>
      </c>
    </row>
    <row r="171" spans="1:5">
      <c r="A171" s="7"/>
      <c r="B171" s="2"/>
      <c r="C171" s="2"/>
      <c r="D171" s="3" t="s">
        <v>13</v>
      </c>
      <c r="E171" s="3">
        <v>256</v>
      </c>
    </row>
    <row r="172" spans="1:5">
      <c r="A172" s="7"/>
      <c r="B172" s="2"/>
      <c r="C172" s="2" t="s">
        <v>44</v>
      </c>
      <c r="D172" s="3"/>
      <c r="E172" s="3"/>
    </row>
    <row r="173" spans="1:6">
      <c r="A173" s="7"/>
      <c r="B173" s="2"/>
      <c r="C173" s="2"/>
      <c r="D173" s="3" t="s">
        <v>8</v>
      </c>
      <c r="E173" s="3">
        <v>32</v>
      </c>
      <c r="F173">
        <f>2*PRODUCT(E173:E178)</f>
        <v>1207959552</v>
      </c>
    </row>
    <row r="174" spans="1:5">
      <c r="A174" s="7"/>
      <c r="B174" s="2"/>
      <c r="C174" s="2"/>
      <c r="D174" s="3" t="s">
        <v>9</v>
      </c>
      <c r="E174" s="3">
        <v>32</v>
      </c>
    </row>
    <row r="175" spans="1:5">
      <c r="A175" s="7"/>
      <c r="B175" s="2"/>
      <c r="C175" s="2"/>
      <c r="D175" s="3" t="s">
        <v>15</v>
      </c>
      <c r="E175" s="3">
        <v>256</v>
      </c>
    </row>
    <row r="176" spans="1:5">
      <c r="A176" s="7"/>
      <c r="B176" s="2"/>
      <c r="C176" s="2"/>
      <c r="D176" s="3" t="s">
        <v>34</v>
      </c>
      <c r="E176" s="3">
        <v>256</v>
      </c>
    </row>
    <row r="177" spans="1:5">
      <c r="A177" s="7"/>
      <c r="B177" s="2"/>
      <c r="C177" s="2"/>
      <c r="D177" s="3" t="s">
        <v>6</v>
      </c>
      <c r="E177" s="3">
        <v>3</v>
      </c>
    </row>
    <row r="178" spans="1:5">
      <c r="A178" s="7"/>
      <c r="B178" s="2"/>
      <c r="C178" s="2"/>
      <c r="D178" s="3" t="s">
        <v>7</v>
      </c>
      <c r="E178" s="3">
        <v>3</v>
      </c>
    </row>
    <row r="179" spans="1:5">
      <c r="A179" s="7"/>
      <c r="B179" s="2"/>
      <c r="C179" s="2" t="s">
        <v>16</v>
      </c>
      <c r="D179" s="3"/>
      <c r="E179" s="3"/>
    </row>
    <row r="180" spans="1:6">
      <c r="A180" s="7"/>
      <c r="B180" s="2"/>
      <c r="C180" s="2"/>
      <c r="D180" s="3" t="s">
        <v>11</v>
      </c>
      <c r="E180" s="3">
        <v>32</v>
      </c>
      <c r="F180">
        <f>PRODUCT(E180:E182)</f>
        <v>262144</v>
      </c>
    </row>
    <row r="181" spans="1:5">
      <c r="A181" s="7"/>
      <c r="B181" s="2"/>
      <c r="C181" s="2"/>
      <c r="D181" s="3" t="s">
        <v>12</v>
      </c>
      <c r="E181" s="3">
        <v>32</v>
      </c>
    </row>
    <row r="182" spans="1:5">
      <c r="A182" s="7"/>
      <c r="B182" s="2"/>
      <c r="C182" s="2"/>
      <c r="D182" s="3" t="s">
        <v>13</v>
      </c>
      <c r="E182" s="3">
        <v>256</v>
      </c>
    </row>
    <row r="183" spans="1:6">
      <c r="A183" s="7"/>
      <c r="B183" s="2"/>
      <c r="C183" s="3"/>
      <c r="D183" s="3"/>
      <c r="E183" s="3"/>
      <c r="F183" s="4">
        <f>SUM(F162,F169,F173,F180)</f>
        <v>4832362496</v>
      </c>
    </row>
    <row r="184" spans="1:1">
      <c r="A184" s="7"/>
    </row>
    <row r="185" spans="1:1">
      <c r="A185" s="7"/>
    </row>
    <row r="186" spans="1:5">
      <c r="A186" s="7"/>
      <c r="B186" s="2" t="s">
        <v>42</v>
      </c>
      <c r="C186" s="3"/>
      <c r="D186" s="3" t="s">
        <v>18</v>
      </c>
      <c r="E186" s="3"/>
    </row>
    <row r="187" spans="1:5">
      <c r="A187" s="7"/>
      <c r="B187" s="2"/>
      <c r="C187" s="2" t="s">
        <v>33</v>
      </c>
      <c r="D187" s="3"/>
      <c r="E187" s="3"/>
    </row>
    <row r="188" spans="1:6">
      <c r="A188" s="7"/>
      <c r="B188" s="2"/>
      <c r="C188" s="2"/>
      <c r="D188" s="3" t="s">
        <v>8</v>
      </c>
      <c r="E188" s="3">
        <v>64</v>
      </c>
      <c r="F188">
        <f>2*PRODUCT(E188:E193)</f>
        <v>3623878656</v>
      </c>
    </row>
    <row r="189" spans="1:5">
      <c r="A189" s="7"/>
      <c r="B189" s="2"/>
      <c r="C189" s="2"/>
      <c r="D189" s="3" t="s">
        <v>9</v>
      </c>
      <c r="E189" s="3">
        <v>64</v>
      </c>
    </row>
    <row r="190" spans="1:5">
      <c r="A190" s="7"/>
      <c r="B190" s="2"/>
      <c r="C190" s="2"/>
      <c r="D190" s="3" t="s">
        <v>15</v>
      </c>
      <c r="E190" s="3">
        <v>128</v>
      </c>
    </row>
    <row r="191" spans="1:5">
      <c r="A191" s="7"/>
      <c r="B191" s="2"/>
      <c r="C191" s="2"/>
      <c r="D191" s="3" t="s">
        <v>34</v>
      </c>
      <c r="E191" s="5">
        <v>384</v>
      </c>
    </row>
    <row r="192" spans="1:5">
      <c r="A192" s="7"/>
      <c r="B192" s="2"/>
      <c r="C192" s="2"/>
      <c r="D192" s="3" t="s">
        <v>6</v>
      </c>
      <c r="E192" s="3">
        <v>3</v>
      </c>
    </row>
    <row r="193" spans="1:5">
      <c r="A193" s="7"/>
      <c r="B193" s="2"/>
      <c r="C193" s="2"/>
      <c r="D193" s="3" t="s">
        <v>7</v>
      </c>
      <c r="E193" s="3">
        <v>3</v>
      </c>
    </row>
    <row r="194" spans="1:5">
      <c r="A194" s="7"/>
      <c r="B194" s="2"/>
      <c r="C194" s="2" t="s">
        <v>16</v>
      </c>
      <c r="D194" s="3"/>
      <c r="E194" s="3"/>
    </row>
    <row r="195" spans="1:6">
      <c r="A195" s="7"/>
      <c r="B195" s="2"/>
      <c r="C195" s="2"/>
      <c r="D195" s="3" t="s">
        <v>11</v>
      </c>
      <c r="E195" s="3">
        <v>64</v>
      </c>
      <c r="F195">
        <f>PRODUCT(E195:E197)</f>
        <v>524288</v>
      </c>
    </row>
    <row r="196" spans="1:5">
      <c r="A196" s="7"/>
      <c r="B196" s="2"/>
      <c r="C196" s="2"/>
      <c r="D196" s="3" t="s">
        <v>12</v>
      </c>
      <c r="E196" s="3">
        <v>64</v>
      </c>
    </row>
    <row r="197" spans="1:5">
      <c r="A197" s="7"/>
      <c r="B197" s="2"/>
      <c r="C197" s="2"/>
      <c r="D197" s="3" t="s">
        <v>13</v>
      </c>
      <c r="E197" s="3">
        <v>128</v>
      </c>
    </row>
    <row r="198" spans="1:5">
      <c r="A198" s="7"/>
      <c r="B198" s="2"/>
      <c r="C198" s="2" t="s">
        <v>33</v>
      </c>
      <c r="D198" s="3"/>
      <c r="E198" s="3"/>
    </row>
    <row r="199" spans="1:6">
      <c r="A199" s="7"/>
      <c r="B199" s="2"/>
      <c r="C199" s="2"/>
      <c r="D199" s="3" t="s">
        <v>8</v>
      </c>
      <c r="E199" s="3">
        <v>64</v>
      </c>
      <c r="F199">
        <f>2*PRODUCT(E199:E204)</f>
        <v>1207959552</v>
      </c>
    </row>
    <row r="200" spans="1:5">
      <c r="A200" s="7"/>
      <c r="B200" s="2"/>
      <c r="C200" s="2"/>
      <c r="D200" s="3" t="s">
        <v>9</v>
      </c>
      <c r="E200" s="3">
        <v>64</v>
      </c>
    </row>
    <row r="201" spans="1:5">
      <c r="A201" s="7"/>
      <c r="B201" s="2"/>
      <c r="C201" s="2"/>
      <c r="D201" s="3" t="s">
        <v>15</v>
      </c>
      <c r="E201" s="3">
        <v>128</v>
      </c>
    </row>
    <row r="202" spans="1:5">
      <c r="A202" s="7"/>
      <c r="B202" s="2"/>
      <c r="C202" s="2"/>
      <c r="D202" s="3" t="s">
        <v>34</v>
      </c>
      <c r="E202" s="3">
        <v>128</v>
      </c>
    </row>
    <row r="203" spans="1:5">
      <c r="A203" s="7"/>
      <c r="B203" s="2"/>
      <c r="C203" s="2"/>
      <c r="D203" s="3" t="s">
        <v>6</v>
      </c>
      <c r="E203" s="3">
        <v>3</v>
      </c>
    </row>
    <row r="204" spans="1:5">
      <c r="A204" s="7"/>
      <c r="B204" s="2"/>
      <c r="C204" s="2"/>
      <c r="D204" s="3" t="s">
        <v>7</v>
      </c>
      <c r="E204" s="3">
        <v>3</v>
      </c>
    </row>
    <row r="205" spans="1:5">
      <c r="A205" s="7"/>
      <c r="B205" s="2"/>
      <c r="C205" s="2" t="s">
        <v>16</v>
      </c>
      <c r="D205" s="3"/>
      <c r="E205" s="3"/>
    </row>
    <row r="206" spans="1:6">
      <c r="A206" s="7"/>
      <c r="B206" s="2"/>
      <c r="C206" s="2"/>
      <c r="D206" s="3" t="s">
        <v>11</v>
      </c>
      <c r="E206" s="3">
        <v>64</v>
      </c>
      <c r="F206">
        <f>PRODUCT(E206:E208)</f>
        <v>524288</v>
      </c>
    </row>
    <row r="207" spans="1:5">
      <c r="A207" s="7"/>
      <c r="B207" s="2"/>
      <c r="C207" s="2"/>
      <c r="D207" s="3" t="s">
        <v>12</v>
      </c>
      <c r="E207" s="3">
        <v>64</v>
      </c>
    </row>
    <row r="208" spans="1:5">
      <c r="A208" s="7"/>
      <c r="B208" s="2"/>
      <c r="C208" s="2"/>
      <c r="D208" s="3" t="s">
        <v>13</v>
      </c>
      <c r="E208" s="3">
        <v>128</v>
      </c>
    </row>
    <row r="209" spans="1:6">
      <c r="A209" s="7"/>
      <c r="B209" s="2"/>
      <c r="C209" s="3"/>
      <c r="D209" s="3"/>
      <c r="E209" s="3"/>
      <c r="F209" s="4">
        <f>SUM(F188,F195,F199,F206)</f>
        <v>4832886784</v>
      </c>
    </row>
    <row r="210" spans="1:1">
      <c r="A210" s="7"/>
    </row>
    <row r="211" spans="1:1">
      <c r="A211" s="7"/>
    </row>
    <row r="212" spans="1:5">
      <c r="A212" s="7"/>
      <c r="B212" s="2" t="s">
        <v>39</v>
      </c>
      <c r="C212" s="3"/>
      <c r="D212" s="3" t="s">
        <v>40</v>
      </c>
      <c r="E212" s="3"/>
    </row>
    <row r="213" spans="1:5">
      <c r="A213" s="7"/>
      <c r="B213" s="2"/>
      <c r="C213" s="2" t="s">
        <v>33</v>
      </c>
      <c r="D213" s="3"/>
      <c r="E213" s="3"/>
    </row>
    <row r="214" spans="1:6">
      <c r="A214" s="7"/>
      <c r="B214" s="2"/>
      <c r="C214" s="2"/>
      <c r="D214" s="3" t="s">
        <v>8</v>
      </c>
      <c r="E214" s="3">
        <v>128</v>
      </c>
      <c r="F214">
        <f>2*PRODUCT(E214:E219)</f>
        <v>3623878656</v>
      </c>
    </row>
    <row r="215" spans="1:5">
      <c r="A215" s="7"/>
      <c r="B215" s="2"/>
      <c r="C215" s="2"/>
      <c r="D215" s="3" t="s">
        <v>9</v>
      </c>
      <c r="E215" s="3">
        <v>128</v>
      </c>
    </row>
    <row r="216" spans="1:5">
      <c r="A216" s="7"/>
      <c r="B216" s="2"/>
      <c r="C216" s="2"/>
      <c r="D216" s="3" t="s">
        <v>15</v>
      </c>
      <c r="E216" s="3">
        <v>64</v>
      </c>
    </row>
    <row r="217" spans="1:5">
      <c r="A217" s="7"/>
      <c r="B217" s="2"/>
      <c r="C217" s="2"/>
      <c r="D217" s="3" t="s">
        <v>34</v>
      </c>
      <c r="E217" s="5">
        <v>192</v>
      </c>
    </row>
    <row r="218" spans="1:5">
      <c r="A218" s="7"/>
      <c r="B218" s="2"/>
      <c r="C218" s="2"/>
      <c r="D218" s="3" t="s">
        <v>6</v>
      </c>
      <c r="E218" s="3">
        <v>3</v>
      </c>
    </row>
    <row r="219" spans="1:5">
      <c r="A219" s="7"/>
      <c r="B219" s="2"/>
      <c r="C219" s="2"/>
      <c r="D219" s="3" t="s">
        <v>7</v>
      </c>
      <c r="E219" s="3">
        <v>3</v>
      </c>
    </row>
    <row r="220" spans="1:5">
      <c r="A220" s="7"/>
      <c r="B220" s="2"/>
      <c r="C220" s="2" t="s">
        <v>16</v>
      </c>
      <c r="D220" s="3"/>
      <c r="E220" s="3"/>
    </row>
    <row r="221" spans="1:6">
      <c r="A221" s="7"/>
      <c r="B221" s="2"/>
      <c r="C221" s="2"/>
      <c r="D221" s="3" t="s">
        <v>11</v>
      </c>
      <c r="E221" s="3">
        <v>128</v>
      </c>
      <c r="F221">
        <f>PRODUCT(E221:E223)</f>
        <v>1048576</v>
      </c>
    </row>
    <row r="222" spans="1:5">
      <c r="A222" s="7"/>
      <c r="B222" s="2"/>
      <c r="C222" s="2"/>
      <c r="D222" s="3" t="s">
        <v>12</v>
      </c>
      <c r="E222" s="3">
        <v>128</v>
      </c>
    </row>
    <row r="223" spans="1:5">
      <c r="A223" s="7"/>
      <c r="B223" s="2"/>
      <c r="C223" s="2"/>
      <c r="D223" s="3" t="s">
        <v>13</v>
      </c>
      <c r="E223" s="3">
        <v>64</v>
      </c>
    </row>
    <row r="224" spans="1:5">
      <c r="A224" s="7"/>
      <c r="B224" s="2"/>
      <c r="C224" s="2" t="s">
        <v>33</v>
      </c>
      <c r="D224" s="3"/>
      <c r="E224" s="3"/>
    </row>
    <row r="225" spans="1:6">
      <c r="A225" s="7"/>
      <c r="B225" s="2"/>
      <c r="C225" s="2"/>
      <c r="D225" s="3" t="s">
        <v>8</v>
      </c>
      <c r="E225" s="3">
        <v>128</v>
      </c>
      <c r="F225">
        <f>2*PRODUCT(E225:E230)</f>
        <v>1207959552</v>
      </c>
    </row>
    <row r="226" spans="1:5">
      <c r="A226" s="7"/>
      <c r="B226" s="2"/>
      <c r="C226" s="2"/>
      <c r="D226" s="3" t="s">
        <v>9</v>
      </c>
      <c r="E226" s="3">
        <v>128</v>
      </c>
    </row>
    <row r="227" spans="1:5">
      <c r="A227" s="7"/>
      <c r="B227" s="2"/>
      <c r="C227" s="2"/>
      <c r="D227" s="3" t="s">
        <v>15</v>
      </c>
      <c r="E227" s="3">
        <v>64</v>
      </c>
    </row>
    <row r="228" spans="1:5">
      <c r="A228" s="7"/>
      <c r="B228" s="2"/>
      <c r="C228" s="2"/>
      <c r="D228" s="3" t="s">
        <v>34</v>
      </c>
      <c r="E228" s="3">
        <v>64</v>
      </c>
    </row>
    <row r="229" spans="1:5">
      <c r="A229" s="7"/>
      <c r="B229" s="2"/>
      <c r="C229" s="2"/>
      <c r="D229" s="3" t="s">
        <v>6</v>
      </c>
      <c r="E229" s="3">
        <v>3</v>
      </c>
    </row>
    <row r="230" spans="1:5">
      <c r="A230" s="7"/>
      <c r="B230" s="2"/>
      <c r="C230" s="2"/>
      <c r="D230" s="3" t="s">
        <v>7</v>
      </c>
      <c r="E230" s="3">
        <v>3</v>
      </c>
    </row>
    <row r="231" spans="1:5">
      <c r="A231" s="7"/>
      <c r="B231" s="2"/>
      <c r="C231" s="2" t="s">
        <v>16</v>
      </c>
      <c r="D231" s="3"/>
      <c r="E231" s="3"/>
    </row>
    <row r="232" spans="1:6">
      <c r="A232" s="7"/>
      <c r="B232" s="2"/>
      <c r="C232" s="2"/>
      <c r="D232" s="3" t="s">
        <v>11</v>
      </c>
      <c r="E232" s="3">
        <v>128</v>
      </c>
      <c r="F232">
        <f>PRODUCT(E232:E234)</f>
        <v>1048576</v>
      </c>
    </row>
    <row r="233" spans="1:5">
      <c r="A233" s="7"/>
      <c r="B233" s="2"/>
      <c r="C233" s="2"/>
      <c r="D233" s="3" t="s">
        <v>12</v>
      </c>
      <c r="E233" s="3">
        <v>128</v>
      </c>
    </row>
    <row r="234" spans="1:5">
      <c r="A234" s="7"/>
      <c r="B234" s="2"/>
      <c r="C234" s="2"/>
      <c r="D234" s="3" t="s">
        <v>13</v>
      </c>
      <c r="E234" s="3">
        <v>64</v>
      </c>
    </row>
    <row r="235" spans="1:6">
      <c r="A235" s="7"/>
      <c r="B235" s="2"/>
      <c r="C235" s="3"/>
      <c r="D235" s="3"/>
      <c r="E235" s="3"/>
      <c r="F235" s="4">
        <f>SUM(F214,F221,F225,F232)</f>
        <v>4833935360</v>
      </c>
    </row>
    <row r="239" spans="2:5">
      <c r="B239" s="2" t="s">
        <v>50</v>
      </c>
      <c r="C239" s="3"/>
      <c r="D239" s="3" t="s">
        <v>40</v>
      </c>
      <c r="E239" s="3"/>
    </row>
    <row r="240" spans="2:5">
      <c r="B240" s="2"/>
      <c r="C240" s="2" t="s">
        <v>51</v>
      </c>
      <c r="D240" s="3"/>
      <c r="E240" s="3"/>
    </row>
    <row r="241" spans="2:6">
      <c r="B241" s="2"/>
      <c r="C241" s="2"/>
      <c r="D241" s="3" t="s">
        <v>8</v>
      </c>
      <c r="E241" s="3">
        <v>128</v>
      </c>
      <c r="F241">
        <f>2*PRODUCT(E241:E246)</f>
        <v>37748736</v>
      </c>
    </row>
    <row r="242" spans="2:5">
      <c r="B242" s="2"/>
      <c r="C242" s="2"/>
      <c r="D242" s="3" t="s">
        <v>9</v>
      </c>
      <c r="E242" s="3">
        <v>128</v>
      </c>
    </row>
    <row r="243" spans="2:5">
      <c r="B243" s="2"/>
      <c r="C243" s="2"/>
      <c r="D243" s="3" t="s">
        <v>15</v>
      </c>
      <c r="E243" s="3">
        <v>2</v>
      </c>
    </row>
    <row r="244" spans="2:5">
      <c r="B244" s="2"/>
      <c r="C244" s="2"/>
      <c r="D244" s="3" t="s">
        <v>34</v>
      </c>
      <c r="E244" s="3">
        <v>64</v>
      </c>
    </row>
    <row r="245" spans="2:5">
      <c r="B245" s="2"/>
      <c r="C245" s="2"/>
      <c r="D245" s="3" t="s">
        <v>6</v>
      </c>
      <c r="E245" s="3">
        <v>3</v>
      </c>
    </row>
    <row r="246" spans="2:5">
      <c r="B246" s="2"/>
      <c r="C246" s="2"/>
      <c r="D246" s="3" t="s">
        <v>7</v>
      </c>
      <c r="E246" s="3">
        <v>3</v>
      </c>
    </row>
    <row r="247" spans="2:5">
      <c r="B247" s="2"/>
      <c r="C247" s="2" t="s">
        <v>16</v>
      </c>
      <c r="D247" s="3"/>
      <c r="E247" s="3"/>
    </row>
    <row r="248" spans="2:6">
      <c r="B248" s="2"/>
      <c r="C248" s="2"/>
      <c r="D248" s="3" t="s">
        <v>11</v>
      </c>
      <c r="E248" s="3">
        <v>128</v>
      </c>
      <c r="F248">
        <f>PRODUCT(E248:E250)</f>
        <v>32768</v>
      </c>
    </row>
    <row r="249" spans="2:5">
      <c r="B249" s="2"/>
      <c r="C249" s="2"/>
      <c r="D249" s="3" t="s">
        <v>12</v>
      </c>
      <c r="E249" s="3">
        <v>128</v>
      </c>
    </row>
    <row r="250" spans="2:5">
      <c r="B250" s="2"/>
      <c r="C250" s="2"/>
      <c r="D250" s="3" t="s">
        <v>13</v>
      </c>
      <c r="E250" s="3">
        <v>2</v>
      </c>
    </row>
    <row r="251" spans="2:5">
      <c r="B251" s="2"/>
      <c r="C251" s="2" t="s">
        <v>52</v>
      </c>
      <c r="D251" s="3"/>
      <c r="E251" s="3"/>
    </row>
    <row r="252" spans="2:6">
      <c r="B252" s="2"/>
      <c r="C252" s="2"/>
      <c r="D252" s="3" t="s">
        <v>8</v>
      </c>
      <c r="E252" s="3">
        <v>128</v>
      </c>
      <c r="F252">
        <f>2*PRODUCT(E252:E257)</f>
        <v>589824</v>
      </c>
    </row>
    <row r="253" spans="2:5">
      <c r="B253" s="2"/>
      <c r="C253" s="2"/>
      <c r="D253" s="3" t="s">
        <v>9</v>
      </c>
      <c r="E253" s="3">
        <v>128</v>
      </c>
    </row>
    <row r="254" spans="2:5">
      <c r="B254" s="2"/>
      <c r="C254" s="2"/>
      <c r="D254" s="3" t="s">
        <v>15</v>
      </c>
      <c r="E254" s="3">
        <v>1</v>
      </c>
    </row>
    <row r="255" spans="2:5">
      <c r="B255" s="2"/>
      <c r="C255" s="2"/>
      <c r="D255" s="3" t="s">
        <v>34</v>
      </c>
      <c r="E255" s="3">
        <v>2</v>
      </c>
    </row>
    <row r="256" spans="2:5">
      <c r="B256" s="2"/>
      <c r="C256" s="2"/>
      <c r="D256" s="3" t="s">
        <v>6</v>
      </c>
      <c r="E256" s="3">
        <v>3</v>
      </c>
    </row>
    <row r="257" spans="2:5">
      <c r="B257" s="2"/>
      <c r="C257" s="2"/>
      <c r="D257" s="3" t="s">
        <v>7</v>
      </c>
      <c r="E257" s="3">
        <v>3</v>
      </c>
    </row>
    <row r="258" spans="2:5">
      <c r="B258" s="2"/>
      <c r="C258" s="2" t="s">
        <v>16</v>
      </c>
      <c r="D258" s="3"/>
      <c r="E258" s="3"/>
    </row>
    <row r="259" spans="2:6">
      <c r="B259" s="2"/>
      <c r="C259" s="2"/>
      <c r="D259" s="3" t="s">
        <v>11</v>
      </c>
      <c r="E259" s="3">
        <v>128</v>
      </c>
      <c r="F259">
        <f>PRODUCT(E259:E261)</f>
        <v>16384</v>
      </c>
    </row>
    <row r="260" spans="2:5">
      <c r="B260" s="2"/>
      <c r="C260" s="2"/>
      <c r="D260" s="3" t="s">
        <v>12</v>
      </c>
      <c r="E260" s="3">
        <v>128</v>
      </c>
    </row>
    <row r="261" spans="2:5">
      <c r="B261" s="2"/>
      <c r="C261" s="2"/>
      <c r="D261" s="3" t="s">
        <v>13</v>
      </c>
      <c r="E261" s="3">
        <v>1</v>
      </c>
    </row>
    <row r="262" spans="2:5">
      <c r="B262" s="2"/>
      <c r="C262" s="2" t="s">
        <v>33</v>
      </c>
      <c r="D262" s="3"/>
      <c r="E262" s="3"/>
    </row>
    <row r="263" spans="2:6">
      <c r="B263" s="2"/>
      <c r="C263" s="2"/>
      <c r="D263" s="3" t="s">
        <v>8</v>
      </c>
      <c r="E263" s="3">
        <v>128</v>
      </c>
      <c r="F263">
        <f>2*PRODUCT(E263:E268)</f>
        <v>37748736</v>
      </c>
    </row>
    <row r="264" spans="2:5">
      <c r="B264" s="2"/>
      <c r="C264" s="2"/>
      <c r="D264" s="3" t="s">
        <v>9</v>
      </c>
      <c r="E264" s="3">
        <v>128</v>
      </c>
    </row>
    <row r="265" spans="2:5">
      <c r="B265" s="2"/>
      <c r="C265" s="2"/>
      <c r="D265" s="3" t="s">
        <v>15</v>
      </c>
      <c r="E265" s="3">
        <v>128</v>
      </c>
    </row>
    <row r="266" spans="2:5">
      <c r="B266" s="2"/>
      <c r="C266" s="2"/>
      <c r="D266" s="3" t="s">
        <v>34</v>
      </c>
      <c r="E266" s="3">
        <v>1</v>
      </c>
    </row>
    <row r="267" spans="2:5">
      <c r="B267" s="2"/>
      <c r="C267" s="2"/>
      <c r="D267" s="3" t="s">
        <v>6</v>
      </c>
      <c r="E267" s="3">
        <v>3</v>
      </c>
    </row>
    <row r="268" spans="2:5">
      <c r="B268" s="2"/>
      <c r="C268" s="2"/>
      <c r="D268" s="3" t="s">
        <v>7</v>
      </c>
      <c r="E268" s="3">
        <v>3</v>
      </c>
    </row>
    <row r="269" spans="2:5">
      <c r="B269" s="2"/>
      <c r="C269" s="2" t="s">
        <v>16</v>
      </c>
      <c r="D269" s="3"/>
      <c r="E269" s="3"/>
    </row>
    <row r="270" spans="2:6">
      <c r="B270" s="2"/>
      <c r="C270" s="2"/>
      <c r="D270" s="3" t="s">
        <v>11</v>
      </c>
      <c r="E270" s="3">
        <v>128</v>
      </c>
      <c r="F270">
        <f>PRODUCT(E270:E272)</f>
        <v>2097152</v>
      </c>
    </row>
    <row r="271" spans="2:5">
      <c r="B271" s="2"/>
      <c r="C271" s="2"/>
      <c r="D271" s="3" t="s">
        <v>12</v>
      </c>
      <c r="E271" s="3">
        <v>128</v>
      </c>
    </row>
    <row r="272" spans="2:5">
      <c r="B272" s="2"/>
      <c r="C272" s="2"/>
      <c r="D272" s="3" t="s">
        <v>13</v>
      </c>
      <c r="E272" s="3">
        <v>128</v>
      </c>
    </row>
    <row r="273" spans="2:5">
      <c r="B273" s="2"/>
      <c r="C273" s="2" t="s">
        <v>33</v>
      </c>
      <c r="D273" s="3"/>
      <c r="E273" s="3"/>
    </row>
    <row r="274" spans="2:6">
      <c r="B274" s="2"/>
      <c r="C274" s="2"/>
      <c r="D274" s="3" t="s">
        <v>8</v>
      </c>
      <c r="E274" s="3">
        <v>128</v>
      </c>
      <c r="F274">
        <f>2*PRODUCT(E274:E279)</f>
        <v>150994944</v>
      </c>
    </row>
    <row r="275" spans="2:5">
      <c r="B275" s="2"/>
      <c r="C275" s="2"/>
      <c r="D275" s="3" t="s">
        <v>9</v>
      </c>
      <c r="E275" s="3">
        <v>128</v>
      </c>
    </row>
    <row r="276" spans="2:5">
      <c r="B276" s="2"/>
      <c r="C276" s="2"/>
      <c r="D276" s="3" t="s">
        <v>15</v>
      </c>
      <c r="E276" s="3">
        <v>4</v>
      </c>
    </row>
    <row r="277" spans="2:5">
      <c r="B277" s="2"/>
      <c r="C277" s="2"/>
      <c r="D277" s="3" t="s">
        <v>34</v>
      </c>
      <c r="E277" s="3">
        <v>128</v>
      </c>
    </row>
    <row r="278" spans="2:5">
      <c r="B278" s="2"/>
      <c r="C278" s="2"/>
      <c r="D278" s="3" t="s">
        <v>6</v>
      </c>
      <c r="E278" s="3">
        <v>3</v>
      </c>
    </row>
    <row r="279" spans="2:5">
      <c r="B279" s="2"/>
      <c r="C279" s="2"/>
      <c r="D279" s="3" t="s">
        <v>7</v>
      </c>
      <c r="E279" s="3">
        <v>3</v>
      </c>
    </row>
    <row r="280" spans="3:6">
      <c r="C280" s="8"/>
      <c r="D280" s="9"/>
      <c r="E280" s="9"/>
      <c r="F280" s="10">
        <f>SUM(F241,F248,F252,F259,F263,F270,F274)</f>
        <v>229228544</v>
      </c>
    </row>
    <row r="281" spans="3:6">
      <c r="C281" s="8"/>
      <c r="D281" s="9"/>
      <c r="E281" s="9"/>
      <c r="F281" s="11"/>
    </row>
    <row r="282" spans="3:6">
      <c r="C282" s="8"/>
      <c r="D282" s="9"/>
      <c r="E282" s="9"/>
      <c r="F282" s="11"/>
    </row>
    <row r="283" spans="3:6">
      <c r="C283" s="8"/>
      <c r="D283" s="9"/>
      <c r="E283" s="9"/>
      <c r="F283" s="11"/>
    </row>
    <row r="285" spans="3:4">
      <c r="C285" s="3" t="s">
        <v>53</v>
      </c>
      <c r="D285" s="12">
        <f>SUM(F25,F51,F77,F103,F129,F157,F183,F209,F235,F280)</f>
        <v>28076916736</v>
      </c>
    </row>
    <row r="287" spans="4:4">
      <c r="D287">
        <f>D285*10^(-9)</f>
        <v>28.076916736</v>
      </c>
    </row>
  </sheetData>
  <mergeCells count="55">
    <mergeCell ref="A1:A129"/>
    <mergeCell ref="A134:A235"/>
    <mergeCell ref="B2:B25"/>
    <mergeCell ref="B28:B51"/>
    <mergeCell ref="B54:B77"/>
    <mergeCell ref="B80:B103"/>
    <mergeCell ref="B106:B129"/>
    <mergeCell ref="B134:B157"/>
    <mergeCell ref="B160:B183"/>
    <mergeCell ref="B186:B209"/>
    <mergeCell ref="B212:B235"/>
    <mergeCell ref="B239:B279"/>
    <mergeCell ref="C3:C9"/>
    <mergeCell ref="C10:C13"/>
    <mergeCell ref="C14:C20"/>
    <mergeCell ref="C21:C24"/>
    <mergeCell ref="C29:C35"/>
    <mergeCell ref="C36:C39"/>
    <mergeCell ref="C40:C46"/>
    <mergeCell ref="C47:C50"/>
    <mergeCell ref="C55:C61"/>
    <mergeCell ref="C62:C65"/>
    <mergeCell ref="C66:C72"/>
    <mergeCell ref="C73:C76"/>
    <mergeCell ref="C81:C87"/>
    <mergeCell ref="C88:C91"/>
    <mergeCell ref="C92:C98"/>
    <mergeCell ref="C99:C102"/>
    <mergeCell ref="C107:C113"/>
    <mergeCell ref="C114:C117"/>
    <mergeCell ref="C118:C124"/>
    <mergeCell ref="C125:C128"/>
    <mergeCell ref="C135:C141"/>
    <mergeCell ref="C142:C145"/>
    <mergeCell ref="C146:C152"/>
    <mergeCell ref="C153:C156"/>
    <mergeCell ref="C161:C167"/>
    <mergeCell ref="C168:C171"/>
    <mergeCell ref="C172:C178"/>
    <mergeCell ref="C179:C182"/>
    <mergeCell ref="C187:C193"/>
    <mergeCell ref="C194:C197"/>
    <mergeCell ref="C198:C204"/>
    <mergeCell ref="C205:C208"/>
    <mergeCell ref="C213:C219"/>
    <mergeCell ref="C220:C223"/>
    <mergeCell ref="C224:C230"/>
    <mergeCell ref="C231:C234"/>
    <mergeCell ref="C240:C246"/>
    <mergeCell ref="C247:C250"/>
    <mergeCell ref="C251:C257"/>
    <mergeCell ref="C258:C261"/>
    <mergeCell ref="C262:C268"/>
    <mergeCell ref="C269:C272"/>
    <mergeCell ref="C273:C27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7"/>
  <sheetViews>
    <sheetView zoomScale="85" zoomScaleNormal="85" topLeftCell="A258" workbookViewId="0">
      <selection activeCell="C288" sqref="C288"/>
    </sheetView>
  </sheetViews>
  <sheetFormatPr defaultColWidth="8.88888888888889" defaultRowHeight="14.4"/>
  <cols>
    <col min="3" max="3" width="26.7962962962963" customWidth="1"/>
    <col min="6" max="6" width="13.8888888888889" customWidth="1"/>
    <col min="9" max="9" width="11.5" customWidth="1"/>
  </cols>
  <sheetData>
    <row r="1" spans="1:1">
      <c r="A1" s="1" t="s">
        <v>38</v>
      </c>
    </row>
    <row r="2" spans="1:23">
      <c r="A2" s="1"/>
      <c r="B2" s="2" t="s">
        <v>39</v>
      </c>
      <c r="C2" s="3"/>
      <c r="D2" s="3" t="s">
        <v>40</v>
      </c>
      <c r="E2" s="3"/>
      <c r="I2" s="3"/>
      <c r="J2" s="3" t="s">
        <v>40</v>
      </c>
      <c r="K2" s="3"/>
      <c r="O2" s="3"/>
      <c r="P2" s="3" t="s">
        <v>40</v>
      </c>
      <c r="Q2" s="3"/>
      <c r="U2" s="3"/>
      <c r="V2" s="3" t="s">
        <v>40</v>
      </c>
      <c r="W2" s="3"/>
    </row>
    <row r="3" spans="1:23">
      <c r="A3" s="1"/>
      <c r="B3" s="2"/>
      <c r="C3" s="2" t="s">
        <v>41</v>
      </c>
      <c r="D3" s="3"/>
      <c r="E3" s="3"/>
      <c r="I3" s="2" t="s">
        <v>41</v>
      </c>
      <c r="J3" s="3"/>
      <c r="K3" s="3"/>
      <c r="O3" s="2" t="s">
        <v>41</v>
      </c>
      <c r="P3" s="3"/>
      <c r="Q3" s="3"/>
      <c r="U3" s="2" t="s">
        <v>41</v>
      </c>
      <c r="V3" s="3"/>
      <c r="W3" s="3"/>
    </row>
    <row r="4" spans="1:24">
      <c r="A4" s="1"/>
      <c r="B4" s="2"/>
      <c r="C4" s="2"/>
      <c r="D4" s="3" t="s">
        <v>8</v>
      </c>
      <c r="E4" s="3">
        <v>128</v>
      </c>
      <c r="F4">
        <f>2*PRODUCT(E4:E9)</f>
        <v>56623104</v>
      </c>
      <c r="I4" s="2"/>
      <c r="J4" s="3" t="s">
        <v>8</v>
      </c>
      <c r="K4" s="3">
        <v>128</v>
      </c>
      <c r="L4">
        <f>2*PRODUCT(K4:K9)</f>
        <v>3623878656</v>
      </c>
      <c r="O4" s="2"/>
      <c r="P4" s="3" t="s">
        <v>8</v>
      </c>
      <c r="Q4" s="3">
        <v>128</v>
      </c>
      <c r="R4">
        <f>2*PRODUCT(Q4:Q9)</f>
        <v>3623878656</v>
      </c>
      <c r="U4" s="2"/>
      <c r="V4" s="3" t="s">
        <v>8</v>
      </c>
      <c r="W4" s="3">
        <v>128</v>
      </c>
      <c r="X4">
        <f>2*PRODUCT(W4:W9)</f>
        <v>3623878656</v>
      </c>
    </row>
    <row r="5" spans="1:23">
      <c r="A5" s="1"/>
      <c r="B5" s="2"/>
      <c r="C5" s="2"/>
      <c r="D5" s="3" t="s">
        <v>9</v>
      </c>
      <c r="E5" s="3">
        <v>128</v>
      </c>
      <c r="I5" s="2"/>
      <c r="J5" s="3" t="s">
        <v>9</v>
      </c>
      <c r="K5" s="3">
        <v>128</v>
      </c>
      <c r="O5" s="2"/>
      <c r="P5" s="3" t="s">
        <v>9</v>
      </c>
      <c r="Q5" s="3">
        <v>128</v>
      </c>
      <c r="U5" s="2"/>
      <c r="V5" s="3" t="s">
        <v>9</v>
      </c>
      <c r="W5" s="3">
        <v>128</v>
      </c>
    </row>
    <row r="6" spans="1:23">
      <c r="A6" s="1"/>
      <c r="B6" s="2"/>
      <c r="C6" s="2"/>
      <c r="D6" s="3" t="s">
        <v>15</v>
      </c>
      <c r="E6" s="3">
        <v>64</v>
      </c>
      <c r="I6" s="2"/>
      <c r="J6" s="3" t="s">
        <v>15</v>
      </c>
      <c r="K6" s="3">
        <v>64</v>
      </c>
      <c r="O6" s="2"/>
      <c r="P6" s="3" t="s">
        <v>15</v>
      </c>
      <c r="Q6" s="3">
        <v>64</v>
      </c>
      <c r="U6" s="2"/>
      <c r="V6" s="3" t="s">
        <v>15</v>
      </c>
      <c r="W6" s="3">
        <v>64</v>
      </c>
    </row>
    <row r="7" spans="1:23">
      <c r="A7" s="1"/>
      <c r="B7" s="2"/>
      <c r="C7" s="2"/>
      <c r="D7" s="3" t="s">
        <v>34</v>
      </c>
      <c r="E7" s="3">
        <v>3</v>
      </c>
      <c r="I7" s="2"/>
      <c r="J7" s="3" t="s">
        <v>34</v>
      </c>
      <c r="K7" s="5">
        <v>192</v>
      </c>
      <c r="O7" s="2"/>
      <c r="P7" s="3" t="s">
        <v>34</v>
      </c>
      <c r="Q7" s="5">
        <v>192</v>
      </c>
      <c r="U7" s="2"/>
      <c r="V7" s="3" t="s">
        <v>34</v>
      </c>
      <c r="W7" s="5">
        <v>192</v>
      </c>
    </row>
    <row r="8" spans="1:23">
      <c r="A8" s="1"/>
      <c r="B8" s="2"/>
      <c r="C8" s="2"/>
      <c r="D8" s="3" t="s">
        <v>6</v>
      </c>
      <c r="E8" s="3">
        <v>3</v>
      </c>
      <c r="I8" s="2"/>
      <c r="J8" s="3" t="s">
        <v>6</v>
      </c>
      <c r="K8" s="3">
        <v>3</v>
      </c>
      <c r="O8" s="2"/>
      <c r="P8" s="3" t="s">
        <v>6</v>
      </c>
      <c r="Q8" s="3">
        <v>3</v>
      </c>
      <c r="U8" s="2"/>
      <c r="V8" s="3" t="s">
        <v>6</v>
      </c>
      <c r="W8" s="3">
        <v>3</v>
      </c>
    </row>
    <row r="9" spans="1:23">
      <c r="A9" s="1"/>
      <c r="B9" s="2"/>
      <c r="C9" s="2"/>
      <c r="D9" s="3" t="s">
        <v>7</v>
      </c>
      <c r="E9" s="3">
        <v>3</v>
      </c>
      <c r="I9" s="2"/>
      <c r="J9" s="3" t="s">
        <v>7</v>
      </c>
      <c r="K9" s="3">
        <v>3</v>
      </c>
      <c r="O9" s="2"/>
      <c r="P9" s="3" t="s">
        <v>7</v>
      </c>
      <c r="Q9" s="3">
        <v>3</v>
      </c>
      <c r="U9" s="2"/>
      <c r="V9" s="3" t="s">
        <v>7</v>
      </c>
      <c r="W9" s="3">
        <v>3</v>
      </c>
    </row>
    <row r="10" spans="1:23">
      <c r="A10" s="1"/>
      <c r="B10" s="2"/>
      <c r="C10" s="2" t="s">
        <v>16</v>
      </c>
      <c r="D10" s="3"/>
      <c r="E10" s="3"/>
      <c r="I10" s="2" t="s">
        <v>16</v>
      </c>
      <c r="J10" s="3"/>
      <c r="K10" s="3"/>
      <c r="O10" s="2" t="s">
        <v>16</v>
      </c>
      <c r="P10" s="3"/>
      <c r="Q10" s="3"/>
      <c r="U10" s="2" t="s">
        <v>16</v>
      </c>
      <c r="V10" s="3"/>
      <c r="W10" s="3"/>
    </row>
    <row r="11" spans="1:24">
      <c r="A11" s="1"/>
      <c r="B11" s="2"/>
      <c r="C11" s="2"/>
      <c r="D11" s="3" t="s">
        <v>11</v>
      </c>
      <c r="E11" s="3">
        <v>128</v>
      </c>
      <c r="F11">
        <f>PRODUCT(E11:E13)</f>
        <v>1048576</v>
      </c>
      <c r="I11" s="2"/>
      <c r="J11" s="3" t="s">
        <v>11</v>
      </c>
      <c r="K11" s="3">
        <v>128</v>
      </c>
      <c r="L11">
        <f>PRODUCT(K11:K13)</f>
        <v>1048576</v>
      </c>
      <c r="O11" s="2"/>
      <c r="P11" s="3" t="s">
        <v>11</v>
      </c>
      <c r="Q11" s="3">
        <v>128</v>
      </c>
      <c r="R11">
        <f>PRODUCT(Q11:Q13)</f>
        <v>1048576</v>
      </c>
      <c r="U11" s="2"/>
      <c r="V11" s="3" t="s">
        <v>11</v>
      </c>
      <c r="W11" s="3">
        <v>128</v>
      </c>
      <c r="X11">
        <f>PRODUCT(W11:W13)</f>
        <v>1048576</v>
      </c>
    </row>
    <row r="12" spans="1:23">
      <c r="A12" s="1"/>
      <c r="B12" s="2"/>
      <c r="C12" s="2"/>
      <c r="D12" s="3" t="s">
        <v>12</v>
      </c>
      <c r="E12" s="3">
        <v>128</v>
      </c>
      <c r="I12" s="2"/>
      <c r="J12" s="3" t="s">
        <v>12</v>
      </c>
      <c r="K12" s="3">
        <v>128</v>
      </c>
      <c r="O12" s="2"/>
      <c r="P12" s="3" t="s">
        <v>12</v>
      </c>
      <c r="Q12" s="3">
        <v>128</v>
      </c>
      <c r="U12" s="2"/>
      <c r="V12" s="3" t="s">
        <v>12</v>
      </c>
      <c r="W12" s="3">
        <v>128</v>
      </c>
    </row>
    <row r="13" spans="1:23">
      <c r="A13" s="1"/>
      <c r="B13" s="2"/>
      <c r="C13" s="2"/>
      <c r="D13" s="3" t="s">
        <v>13</v>
      </c>
      <c r="E13" s="3">
        <v>64</v>
      </c>
      <c r="I13" s="2"/>
      <c r="J13" s="3" t="s">
        <v>13</v>
      </c>
      <c r="K13" s="3">
        <v>64</v>
      </c>
      <c r="O13" s="2"/>
      <c r="P13" s="3" t="s">
        <v>13</v>
      </c>
      <c r="Q13" s="3">
        <v>64</v>
      </c>
      <c r="U13" s="2"/>
      <c r="V13" s="3" t="s">
        <v>13</v>
      </c>
      <c r="W13" s="3">
        <v>64</v>
      </c>
    </row>
    <row r="14" spans="1:23">
      <c r="A14" s="1"/>
      <c r="B14" s="2"/>
      <c r="C14" s="2" t="s">
        <v>41</v>
      </c>
      <c r="D14" s="3"/>
      <c r="E14" s="3"/>
      <c r="I14" s="2" t="s">
        <v>41</v>
      </c>
      <c r="J14" s="3"/>
      <c r="K14" s="3"/>
      <c r="O14" s="2" t="s">
        <v>41</v>
      </c>
      <c r="P14" s="3"/>
      <c r="Q14" s="3"/>
      <c r="U14" s="2" t="s">
        <v>41</v>
      </c>
      <c r="V14" s="3"/>
      <c r="W14" s="3"/>
    </row>
    <row r="15" spans="1:24">
      <c r="A15" s="1"/>
      <c r="B15" s="2"/>
      <c r="C15" s="2"/>
      <c r="D15" s="3" t="s">
        <v>8</v>
      </c>
      <c r="E15" s="3">
        <v>128</v>
      </c>
      <c r="F15">
        <f>2*PRODUCT(E15:E20)</f>
        <v>1207959552</v>
      </c>
      <c r="I15" s="2"/>
      <c r="J15" s="3" t="s">
        <v>8</v>
      </c>
      <c r="K15" s="3">
        <v>128</v>
      </c>
      <c r="L15">
        <f>2*PRODUCT(K15:K20)</f>
        <v>1207959552</v>
      </c>
      <c r="O15" s="2"/>
      <c r="P15" s="3" t="s">
        <v>8</v>
      </c>
      <c r="Q15" s="3">
        <v>128</v>
      </c>
      <c r="R15">
        <f>2*PRODUCT(Q15:Q20)</f>
        <v>1207959552</v>
      </c>
      <c r="U15" s="2"/>
      <c r="V15" s="3" t="s">
        <v>8</v>
      </c>
      <c r="W15" s="3">
        <v>128</v>
      </c>
      <c r="X15">
        <f>2*PRODUCT(W15:W20)</f>
        <v>1207959552</v>
      </c>
    </row>
    <row r="16" spans="1:23">
      <c r="A16" s="1"/>
      <c r="B16" s="2"/>
      <c r="C16" s="2"/>
      <c r="D16" s="3" t="s">
        <v>9</v>
      </c>
      <c r="E16" s="3">
        <v>128</v>
      </c>
      <c r="I16" s="2"/>
      <c r="J16" s="3" t="s">
        <v>9</v>
      </c>
      <c r="K16" s="3">
        <v>128</v>
      </c>
      <c r="O16" s="2"/>
      <c r="P16" s="3" t="s">
        <v>9</v>
      </c>
      <c r="Q16" s="3">
        <v>128</v>
      </c>
      <c r="U16" s="2"/>
      <c r="V16" s="3" t="s">
        <v>9</v>
      </c>
      <c r="W16" s="3">
        <v>128</v>
      </c>
    </row>
    <row r="17" spans="1:23">
      <c r="A17" s="1"/>
      <c r="B17" s="2"/>
      <c r="C17" s="2"/>
      <c r="D17" s="3" t="s">
        <v>15</v>
      </c>
      <c r="E17" s="3">
        <v>64</v>
      </c>
      <c r="I17" s="2"/>
      <c r="J17" s="3" t="s">
        <v>15</v>
      </c>
      <c r="K17" s="3">
        <v>64</v>
      </c>
      <c r="O17" s="2"/>
      <c r="P17" s="3" t="s">
        <v>15</v>
      </c>
      <c r="Q17" s="3">
        <v>64</v>
      </c>
      <c r="U17" s="2"/>
      <c r="V17" s="3" t="s">
        <v>15</v>
      </c>
      <c r="W17" s="3">
        <v>64</v>
      </c>
    </row>
    <row r="18" spans="1:23">
      <c r="A18" s="1"/>
      <c r="B18" s="2"/>
      <c r="C18" s="2"/>
      <c r="D18" s="3" t="s">
        <v>34</v>
      </c>
      <c r="E18" s="3">
        <v>64</v>
      </c>
      <c r="I18" s="2"/>
      <c r="J18" s="3" t="s">
        <v>34</v>
      </c>
      <c r="K18" s="3">
        <v>64</v>
      </c>
      <c r="O18" s="2"/>
      <c r="P18" s="3" t="s">
        <v>34</v>
      </c>
      <c r="Q18" s="3">
        <v>64</v>
      </c>
      <c r="U18" s="2"/>
      <c r="V18" s="3" t="s">
        <v>34</v>
      </c>
      <c r="W18" s="3">
        <v>64</v>
      </c>
    </row>
    <row r="19" spans="1:23">
      <c r="A19" s="1"/>
      <c r="B19" s="2"/>
      <c r="C19" s="2"/>
      <c r="D19" s="3" t="s">
        <v>6</v>
      </c>
      <c r="E19" s="3">
        <v>3</v>
      </c>
      <c r="I19" s="2"/>
      <c r="J19" s="3" t="s">
        <v>6</v>
      </c>
      <c r="K19" s="3">
        <v>3</v>
      </c>
      <c r="O19" s="2"/>
      <c r="P19" s="3" t="s">
        <v>6</v>
      </c>
      <c r="Q19" s="3">
        <v>3</v>
      </c>
      <c r="U19" s="2"/>
      <c r="V19" s="3" t="s">
        <v>6</v>
      </c>
      <c r="W19" s="3">
        <v>3</v>
      </c>
    </row>
    <row r="20" spans="1:23">
      <c r="A20" s="1"/>
      <c r="B20" s="2"/>
      <c r="C20" s="2"/>
      <c r="D20" s="3" t="s">
        <v>7</v>
      </c>
      <c r="E20" s="3">
        <v>3</v>
      </c>
      <c r="I20" s="2"/>
      <c r="J20" s="3" t="s">
        <v>7</v>
      </c>
      <c r="K20" s="3">
        <v>3</v>
      </c>
      <c r="O20" s="2"/>
      <c r="P20" s="3" t="s">
        <v>7</v>
      </c>
      <c r="Q20" s="3">
        <v>3</v>
      </c>
      <c r="U20" s="2"/>
      <c r="V20" s="3" t="s">
        <v>7</v>
      </c>
      <c r="W20" s="3">
        <v>3</v>
      </c>
    </row>
    <row r="21" spans="1:23">
      <c r="A21" s="1"/>
      <c r="B21" s="2"/>
      <c r="C21" s="2" t="s">
        <v>16</v>
      </c>
      <c r="D21" s="3"/>
      <c r="E21" s="3"/>
      <c r="I21" s="2" t="s">
        <v>16</v>
      </c>
      <c r="J21" s="3"/>
      <c r="K21" s="3"/>
      <c r="O21" s="2" t="s">
        <v>16</v>
      </c>
      <c r="P21" s="3"/>
      <c r="Q21" s="3"/>
      <c r="U21" s="2" t="s">
        <v>16</v>
      </c>
      <c r="V21" s="3"/>
      <c r="W21" s="3"/>
    </row>
    <row r="22" spans="1:24">
      <c r="A22" s="1"/>
      <c r="B22" s="2"/>
      <c r="C22" s="2"/>
      <c r="D22" s="3" t="s">
        <v>11</v>
      </c>
      <c r="E22" s="3">
        <v>128</v>
      </c>
      <c r="F22">
        <f>PRODUCT(E22:E24)</f>
        <v>1048576</v>
      </c>
      <c r="I22" s="2"/>
      <c r="J22" s="3" t="s">
        <v>11</v>
      </c>
      <c r="K22" s="3">
        <v>128</v>
      </c>
      <c r="L22">
        <f>PRODUCT(K22:K24)</f>
        <v>1048576</v>
      </c>
      <c r="O22" s="2"/>
      <c r="P22" s="3" t="s">
        <v>11</v>
      </c>
      <c r="Q22" s="3">
        <v>128</v>
      </c>
      <c r="R22">
        <f>PRODUCT(Q22:Q24)</f>
        <v>1048576</v>
      </c>
      <c r="U22" s="2"/>
      <c r="V22" s="3" t="s">
        <v>11</v>
      </c>
      <c r="W22" s="3">
        <v>128</v>
      </c>
      <c r="X22">
        <f>PRODUCT(W22:W24)</f>
        <v>1048576</v>
      </c>
    </row>
    <row r="23" spans="1:23">
      <c r="A23" s="1"/>
      <c r="B23" s="2"/>
      <c r="C23" s="2"/>
      <c r="D23" s="3" t="s">
        <v>12</v>
      </c>
      <c r="E23" s="3">
        <v>128</v>
      </c>
      <c r="I23" s="2"/>
      <c r="J23" s="3" t="s">
        <v>12</v>
      </c>
      <c r="K23" s="3">
        <v>128</v>
      </c>
      <c r="O23" s="2"/>
      <c r="P23" s="3" t="s">
        <v>12</v>
      </c>
      <c r="Q23" s="3">
        <v>128</v>
      </c>
      <c r="U23" s="2"/>
      <c r="V23" s="3" t="s">
        <v>12</v>
      </c>
      <c r="W23" s="3">
        <v>128</v>
      </c>
    </row>
    <row r="24" spans="1:23">
      <c r="A24" s="1"/>
      <c r="B24" s="2"/>
      <c r="C24" s="2"/>
      <c r="D24" s="3" t="s">
        <v>13</v>
      </c>
      <c r="E24" s="3">
        <v>64</v>
      </c>
      <c r="I24" s="2"/>
      <c r="J24" s="3" t="s">
        <v>13</v>
      </c>
      <c r="K24" s="3">
        <v>64</v>
      </c>
      <c r="O24" s="2"/>
      <c r="P24" s="3" t="s">
        <v>13</v>
      </c>
      <c r="Q24" s="3">
        <v>64</v>
      </c>
      <c r="U24" s="2"/>
      <c r="V24" s="3" t="s">
        <v>13</v>
      </c>
      <c r="W24" s="3">
        <v>64</v>
      </c>
    </row>
    <row r="25" spans="1:24">
      <c r="A25" s="1"/>
      <c r="B25" s="2"/>
      <c r="C25" s="3"/>
      <c r="D25" s="3"/>
      <c r="E25" s="3"/>
      <c r="F25" s="4">
        <f>SUM(F4,F11,F15,F22)</f>
        <v>1266679808</v>
      </c>
      <c r="I25" s="3"/>
      <c r="J25" s="3"/>
      <c r="K25" s="3"/>
      <c r="L25" s="4">
        <f>SUM(L4,L11,L15,L22)</f>
        <v>4833935360</v>
      </c>
      <c r="O25" s="3"/>
      <c r="P25" s="3"/>
      <c r="Q25" s="3"/>
      <c r="R25" s="4">
        <f>SUM(R4,R11,R15,R22)</f>
        <v>4833935360</v>
      </c>
      <c r="U25" s="3"/>
      <c r="V25" s="3"/>
      <c r="W25" s="3"/>
      <c r="X25" s="4">
        <f>SUM(X4,X11,X15,X22)</f>
        <v>4833935360</v>
      </c>
    </row>
    <row r="26" spans="1:1">
      <c r="A26" s="1"/>
    </row>
    <row r="27" spans="1:1">
      <c r="A27" s="1"/>
    </row>
    <row r="28" spans="1:17">
      <c r="A28" s="1"/>
      <c r="B28" s="2" t="s">
        <v>42</v>
      </c>
      <c r="C28" s="3"/>
      <c r="D28" s="3" t="s">
        <v>18</v>
      </c>
      <c r="E28" s="3"/>
      <c r="I28" s="3"/>
      <c r="J28" s="3" t="s">
        <v>18</v>
      </c>
      <c r="K28" s="3"/>
      <c r="O28" s="3"/>
      <c r="P28" s="3" t="s">
        <v>18</v>
      </c>
      <c r="Q28" s="3"/>
    </row>
    <row r="29" spans="1:17">
      <c r="A29" s="1"/>
      <c r="B29" s="2"/>
      <c r="C29" s="2" t="s">
        <v>33</v>
      </c>
      <c r="D29" s="3"/>
      <c r="E29" s="3"/>
      <c r="I29" s="2" t="s">
        <v>33</v>
      </c>
      <c r="J29" s="3"/>
      <c r="K29" s="3"/>
      <c r="O29" s="2" t="s">
        <v>33</v>
      </c>
      <c r="P29" s="3"/>
      <c r="Q29" s="3"/>
    </row>
    <row r="30" spans="1:18">
      <c r="A30" s="1"/>
      <c r="B30" s="2"/>
      <c r="C30" s="2"/>
      <c r="D30" s="3" t="s">
        <v>8</v>
      </c>
      <c r="E30" s="3">
        <v>64</v>
      </c>
      <c r="F30">
        <f>2*PRODUCT(E30:E35)</f>
        <v>603979776</v>
      </c>
      <c r="I30" s="2"/>
      <c r="J30" s="3" t="s">
        <v>8</v>
      </c>
      <c r="K30" s="3">
        <v>64</v>
      </c>
      <c r="L30">
        <f>2*PRODUCT(K30:K35)</f>
        <v>3623878656</v>
      </c>
      <c r="O30" s="2"/>
      <c r="P30" s="3" t="s">
        <v>8</v>
      </c>
      <c r="Q30" s="3">
        <v>64</v>
      </c>
      <c r="R30">
        <f>2*PRODUCT(Q30:Q35)</f>
        <v>3623878656</v>
      </c>
    </row>
    <row r="31" spans="1:17">
      <c r="A31" s="1"/>
      <c r="B31" s="2"/>
      <c r="C31" s="2"/>
      <c r="D31" s="3" t="s">
        <v>9</v>
      </c>
      <c r="E31" s="3">
        <v>64</v>
      </c>
      <c r="I31" s="2"/>
      <c r="J31" s="3" t="s">
        <v>9</v>
      </c>
      <c r="K31" s="3">
        <v>64</v>
      </c>
      <c r="O31" s="2"/>
      <c r="P31" s="3" t="s">
        <v>9</v>
      </c>
      <c r="Q31" s="3">
        <v>64</v>
      </c>
    </row>
    <row r="32" spans="1:17">
      <c r="A32" s="1"/>
      <c r="B32" s="2"/>
      <c r="C32" s="2"/>
      <c r="D32" s="3" t="s">
        <v>15</v>
      </c>
      <c r="E32" s="3">
        <v>128</v>
      </c>
      <c r="I32" s="2"/>
      <c r="J32" s="3" t="s">
        <v>15</v>
      </c>
      <c r="K32" s="3">
        <v>128</v>
      </c>
      <c r="O32" s="2"/>
      <c r="P32" s="3" t="s">
        <v>15</v>
      </c>
      <c r="Q32" s="3">
        <v>128</v>
      </c>
    </row>
    <row r="33" spans="1:17">
      <c r="A33" s="1"/>
      <c r="B33" s="2"/>
      <c r="C33" s="2"/>
      <c r="D33" s="3" t="s">
        <v>34</v>
      </c>
      <c r="E33" s="3">
        <v>64</v>
      </c>
      <c r="I33" s="2"/>
      <c r="J33" s="3" t="s">
        <v>34</v>
      </c>
      <c r="K33" s="5">
        <v>384</v>
      </c>
      <c r="O33" s="2"/>
      <c r="P33" s="3" t="s">
        <v>34</v>
      </c>
      <c r="Q33" s="5">
        <v>384</v>
      </c>
    </row>
    <row r="34" spans="1:17">
      <c r="A34" s="1"/>
      <c r="B34" s="2"/>
      <c r="C34" s="2"/>
      <c r="D34" s="3" t="s">
        <v>6</v>
      </c>
      <c r="E34" s="3">
        <v>3</v>
      </c>
      <c r="I34" s="2"/>
      <c r="J34" s="3" t="s">
        <v>6</v>
      </c>
      <c r="K34" s="3">
        <v>3</v>
      </c>
      <c r="O34" s="2"/>
      <c r="P34" s="3" t="s">
        <v>6</v>
      </c>
      <c r="Q34" s="3">
        <v>3</v>
      </c>
    </row>
    <row r="35" spans="1:17">
      <c r="A35" s="1"/>
      <c r="B35" s="2"/>
      <c r="C35" s="2"/>
      <c r="D35" s="3" t="s">
        <v>7</v>
      </c>
      <c r="E35" s="3">
        <v>3</v>
      </c>
      <c r="I35" s="2"/>
      <c r="J35" s="3" t="s">
        <v>7</v>
      </c>
      <c r="K35" s="3">
        <v>3</v>
      </c>
      <c r="O35" s="2"/>
      <c r="P35" s="3" t="s">
        <v>7</v>
      </c>
      <c r="Q35" s="3">
        <v>3</v>
      </c>
    </row>
    <row r="36" spans="1:17">
      <c r="A36" s="1"/>
      <c r="B36" s="2"/>
      <c r="C36" s="2" t="s">
        <v>16</v>
      </c>
      <c r="D36" s="3"/>
      <c r="E36" s="3"/>
      <c r="I36" s="2" t="s">
        <v>16</v>
      </c>
      <c r="J36" s="3"/>
      <c r="K36" s="3"/>
      <c r="O36" s="2" t="s">
        <v>16</v>
      </c>
      <c r="P36" s="3"/>
      <c r="Q36" s="3"/>
    </row>
    <row r="37" spans="1:18">
      <c r="A37" s="1"/>
      <c r="B37" s="2"/>
      <c r="C37" s="2"/>
      <c r="D37" s="3" t="s">
        <v>11</v>
      </c>
      <c r="E37" s="3">
        <v>64</v>
      </c>
      <c r="F37">
        <f>PRODUCT(E37:E39)</f>
        <v>524288</v>
      </c>
      <c r="I37" s="2"/>
      <c r="J37" s="3" t="s">
        <v>11</v>
      </c>
      <c r="K37" s="3">
        <v>64</v>
      </c>
      <c r="L37">
        <f>PRODUCT(K37:K39)</f>
        <v>524288</v>
      </c>
      <c r="O37" s="2"/>
      <c r="P37" s="3" t="s">
        <v>11</v>
      </c>
      <c r="Q37" s="3">
        <v>64</v>
      </c>
      <c r="R37">
        <f>PRODUCT(Q37:Q39)</f>
        <v>524288</v>
      </c>
    </row>
    <row r="38" spans="1:17">
      <c r="A38" s="1"/>
      <c r="B38" s="2"/>
      <c r="C38" s="2"/>
      <c r="D38" s="3" t="s">
        <v>12</v>
      </c>
      <c r="E38" s="3">
        <v>64</v>
      </c>
      <c r="I38" s="2"/>
      <c r="J38" s="3" t="s">
        <v>12</v>
      </c>
      <c r="K38" s="3">
        <v>64</v>
      </c>
      <c r="O38" s="2"/>
      <c r="P38" s="3" t="s">
        <v>12</v>
      </c>
      <c r="Q38" s="3">
        <v>64</v>
      </c>
    </row>
    <row r="39" spans="1:17">
      <c r="A39" s="1"/>
      <c r="B39" s="2"/>
      <c r="C39" s="2"/>
      <c r="D39" s="3" t="s">
        <v>13</v>
      </c>
      <c r="E39" s="3">
        <v>128</v>
      </c>
      <c r="I39" s="2"/>
      <c r="J39" s="3" t="s">
        <v>13</v>
      </c>
      <c r="K39" s="3">
        <v>128</v>
      </c>
      <c r="O39" s="2"/>
      <c r="P39" s="3" t="s">
        <v>13</v>
      </c>
      <c r="Q39" s="3">
        <v>128</v>
      </c>
    </row>
    <row r="40" spans="1:17">
      <c r="A40" s="1"/>
      <c r="B40" s="2"/>
      <c r="C40" s="2" t="s">
        <v>33</v>
      </c>
      <c r="D40" s="3"/>
      <c r="E40" s="3"/>
      <c r="I40" s="2" t="s">
        <v>33</v>
      </c>
      <c r="J40" s="3"/>
      <c r="K40" s="3"/>
      <c r="O40" s="2" t="s">
        <v>33</v>
      </c>
      <c r="P40" s="3"/>
      <c r="Q40" s="3"/>
    </row>
    <row r="41" spans="1:18">
      <c r="A41" s="1"/>
      <c r="B41" s="2"/>
      <c r="C41" s="2"/>
      <c r="D41" s="3" t="s">
        <v>8</v>
      </c>
      <c r="E41" s="3">
        <v>64</v>
      </c>
      <c r="F41">
        <f>2*PRODUCT(E41:E46)</f>
        <v>1207959552</v>
      </c>
      <c r="I41" s="2"/>
      <c r="J41" s="3" t="s">
        <v>8</v>
      </c>
      <c r="K41" s="3">
        <v>64</v>
      </c>
      <c r="L41">
        <f>2*PRODUCT(K41:K46)</f>
        <v>1207959552</v>
      </c>
      <c r="O41" s="2"/>
      <c r="P41" s="3" t="s">
        <v>8</v>
      </c>
      <c r="Q41" s="3">
        <v>64</v>
      </c>
      <c r="R41">
        <f>2*PRODUCT(Q41:Q46)</f>
        <v>1207959552</v>
      </c>
    </row>
    <row r="42" spans="1:17">
      <c r="A42" s="1"/>
      <c r="B42" s="2"/>
      <c r="C42" s="2"/>
      <c r="D42" s="3" t="s">
        <v>9</v>
      </c>
      <c r="E42" s="3">
        <v>64</v>
      </c>
      <c r="I42" s="2"/>
      <c r="J42" s="3" t="s">
        <v>9</v>
      </c>
      <c r="K42" s="3">
        <v>64</v>
      </c>
      <c r="O42" s="2"/>
      <c r="P42" s="3" t="s">
        <v>9</v>
      </c>
      <c r="Q42" s="3">
        <v>64</v>
      </c>
    </row>
    <row r="43" spans="1:17">
      <c r="A43" s="1"/>
      <c r="B43" s="2"/>
      <c r="C43" s="2"/>
      <c r="D43" s="3" t="s">
        <v>15</v>
      </c>
      <c r="E43" s="3">
        <v>128</v>
      </c>
      <c r="I43" s="2"/>
      <c r="J43" s="3" t="s">
        <v>15</v>
      </c>
      <c r="K43" s="3">
        <v>128</v>
      </c>
      <c r="O43" s="2"/>
      <c r="P43" s="3" t="s">
        <v>15</v>
      </c>
      <c r="Q43" s="3">
        <v>128</v>
      </c>
    </row>
    <row r="44" spans="1:17">
      <c r="A44" s="1"/>
      <c r="B44" s="2"/>
      <c r="C44" s="2"/>
      <c r="D44" s="3" t="s">
        <v>34</v>
      </c>
      <c r="E44" s="3">
        <v>128</v>
      </c>
      <c r="I44" s="2"/>
      <c r="J44" s="3" t="s">
        <v>34</v>
      </c>
      <c r="K44" s="3">
        <v>128</v>
      </c>
      <c r="O44" s="2"/>
      <c r="P44" s="3" t="s">
        <v>34</v>
      </c>
      <c r="Q44" s="3">
        <v>128</v>
      </c>
    </row>
    <row r="45" spans="1:17">
      <c r="A45" s="1"/>
      <c r="B45" s="2"/>
      <c r="C45" s="2"/>
      <c r="D45" s="3" t="s">
        <v>6</v>
      </c>
      <c r="E45" s="3">
        <v>3</v>
      </c>
      <c r="I45" s="2"/>
      <c r="J45" s="3" t="s">
        <v>6</v>
      </c>
      <c r="K45" s="3">
        <v>3</v>
      </c>
      <c r="O45" s="2"/>
      <c r="P45" s="3" t="s">
        <v>6</v>
      </c>
      <c r="Q45" s="3">
        <v>3</v>
      </c>
    </row>
    <row r="46" spans="1:17">
      <c r="A46" s="1"/>
      <c r="B46" s="2"/>
      <c r="C46" s="2"/>
      <c r="D46" s="3" t="s">
        <v>7</v>
      </c>
      <c r="E46" s="3">
        <v>3</v>
      </c>
      <c r="I46" s="2"/>
      <c r="J46" s="3" t="s">
        <v>7</v>
      </c>
      <c r="K46" s="3">
        <v>3</v>
      </c>
      <c r="O46" s="2"/>
      <c r="P46" s="3" t="s">
        <v>7</v>
      </c>
      <c r="Q46" s="3">
        <v>3</v>
      </c>
    </row>
    <row r="47" spans="1:17">
      <c r="A47" s="1"/>
      <c r="B47" s="2"/>
      <c r="C47" s="2" t="s">
        <v>16</v>
      </c>
      <c r="D47" s="3"/>
      <c r="E47" s="3"/>
      <c r="I47" s="2" t="s">
        <v>16</v>
      </c>
      <c r="J47" s="3"/>
      <c r="K47" s="3"/>
      <c r="O47" s="2" t="s">
        <v>16</v>
      </c>
      <c r="P47" s="3"/>
      <c r="Q47" s="3"/>
    </row>
    <row r="48" spans="1:18">
      <c r="A48" s="1"/>
      <c r="B48" s="2"/>
      <c r="C48" s="2"/>
      <c r="D48" s="3" t="s">
        <v>11</v>
      </c>
      <c r="E48" s="3">
        <v>64</v>
      </c>
      <c r="F48">
        <f>PRODUCT(E48:E50)</f>
        <v>524288</v>
      </c>
      <c r="I48" s="2"/>
      <c r="J48" s="3" t="s">
        <v>11</v>
      </c>
      <c r="K48" s="3">
        <v>64</v>
      </c>
      <c r="L48">
        <f>PRODUCT(K48:K50)</f>
        <v>524288</v>
      </c>
      <c r="O48" s="2"/>
      <c r="P48" s="3" t="s">
        <v>11</v>
      </c>
      <c r="Q48" s="3">
        <v>64</v>
      </c>
      <c r="R48">
        <f>PRODUCT(Q48:Q50)</f>
        <v>524288</v>
      </c>
    </row>
    <row r="49" spans="1:17">
      <c r="A49" s="1"/>
      <c r="B49" s="2"/>
      <c r="C49" s="2"/>
      <c r="D49" s="3" t="s">
        <v>12</v>
      </c>
      <c r="E49" s="3">
        <v>64</v>
      </c>
      <c r="I49" s="2"/>
      <c r="J49" s="3" t="s">
        <v>12</v>
      </c>
      <c r="K49" s="3">
        <v>64</v>
      </c>
      <c r="O49" s="2"/>
      <c r="P49" s="3" t="s">
        <v>12</v>
      </c>
      <c r="Q49" s="3">
        <v>64</v>
      </c>
    </row>
    <row r="50" spans="1:17">
      <c r="A50" s="1"/>
      <c r="B50" s="2"/>
      <c r="C50" s="2"/>
      <c r="D50" s="3" t="s">
        <v>13</v>
      </c>
      <c r="E50" s="3">
        <v>128</v>
      </c>
      <c r="I50" s="2"/>
      <c r="J50" s="3" t="s">
        <v>13</v>
      </c>
      <c r="K50" s="3">
        <v>128</v>
      </c>
      <c r="O50" s="2"/>
      <c r="P50" s="3" t="s">
        <v>13</v>
      </c>
      <c r="Q50" s="3">
        <v>128</v>
      </c>
    </row>
    <row r="51" spans="1:18">
      <c r="A51" s="1"/>
      <c r="B51" s="2"/>
      <c r="C51" s="3"/>
      <c r="D51" s="3"/>
      <c r="E51" s="3"/>
      <c r="F51" s="4">
        <f>SUM(F30,F37,F41,F48)</f>
        <v>1812987904</v>
      </c>
      <c r="I51" s="3"/>
      <c r="J51" s="3"/>
      <c r="K51" s="3"/>
      <c r="L51" s="4">
        <f>SUM(L30,L37,L41,L48)</f>
        <v>4832886784</v>
      </c>
      <c r="O51" s="3"/>
      <c r="P51" s="3"/>
      <c r="Q51" s="3"/>
      <c r="R51" s="4">
        <f>SUM(R30,R37,R41,R48)</f>
        <v>4832886784</v>
      </c>
    </row>
    <row r="52" spans="1:1">
      <c r="A52" s="1"/>
    </row>
    <row r="53" spans="1:1">
      <c r="A53" s="1"/>
    </row>
    <row r="54" spans="1:11">
      <c r="A54" s="1"/>
      <c r="B54" s="2" t="s">
        <v>43</v>
      </c>
      <c r="C54" s="3"/>
      <c r="D54" s="3" t="s">
        <v>21</v>
      </c>
      <c r="E54" s="3"/>
      <c r="I54" s="3"/>
      <c r="J54" s="3" t="s">
        <v>21</v>
      </c>
      <c r="K54" s="3"/>
    </row>
    <row r="55" spans="1:11">
      <c r="A55" s="1"/>
      <c r="B55" s="2"/>
      <c r="C55" s="2" t="s">
        <v>44</v>
      </c>
      <c r="D55" s="3"/>
      <c r="E55" s="3"/>
      <c r="I55" s="2" t="s">
        <v>44</v>
      </c>
      <c r="J55" s="3"/>
      <c r="K55" s="3"/>
    </row>
    <row r="56" spans="1:12">
      <c r="A56" s="1"/>
      <c r="B56" s="2"/>
      <c r="C56" s="2"/>
      <c r="D56" s="3" t="s">
        <v>8</v>
      </c>
      <c r="E56" s="3">
        <v>32</v>
      </c>
      <c r="F56">
        <f>2*PRODUCT(E56:E61)</f>
        <v>603979776</v>
      </c>
      <c r="I56" s="2"/>
      <c r="J56" s="3" t="s">
        <v>8</v>
      </c>
      <c r="K56" s="3">
        <v>32</v>
      </c>
      <c r="L56">
        <f>2*PRODUCT(K56:K61)</f>
        <v>3623878656</v>
      </c>
    </row>
    <row r="57" spans="1:11">
      <c r="A57" s="1"/>
      <c r="B57" s="2"/>
      <c r="C57" s="2"/>
      <c r="D57" s="3" t="s">
        <v>9</v>
      </c>
      <c r="E57" s="3">
        <v>32</v>
      </c>
      <c r="I57" s="2"/>
      <c r="J57" s="3" t="s">
        <v>9</v>
      </c>
      <c r="K57" s="3">
        <v>32</v>
      </c>
    </row>
    <row r="58" spans="1:11">
      <c r="A58" s="1"/>
      <c r="B58" s="2"/>
      <c r="C58" s="2"/>
      <c r="D58" s="3" t="s">
        <v>15</v>
      </c>
      <c r="E58" s="3">
        <v>256</v>
      </c>
      <c r="I58" s="2"/>
      <c r="J58" s="3" t="s">
        <v>15</v>
      </c>
      <c r="K58" s="3">
        <v>256</v>
      </c>
    </row>
    <row r="59" spans="1:11">
      <c r="A59" s="1"/>
      <c r="B59" s="2"/>
      <c r="C59" s="2"/>
      <c r="D59" s="3" t="s">
        <v>34</v>
      </c>
      <c r="E59" s="3">
        <v>128</v>
      </c>
      <c r="I59" s="2"/>
      <c r="J59" s="3" t="s">
        <v>34</v>
      </c>
      <c r="K59" s="5">
        <v>768</v>
      </c>
    </row>
    <row r="60" spans="1:11">
      <c r="A60" s="1"/>
      <c r="B60" s="2"/>
      <c r="C60" s="2"/>
      <c r="D60" s="3" t="s">
        <v>6</v>
      </c>
      <c r="E60" s="3">
        <v>3</v>
      </c>
      <c r="I60" s="2"/>
      <c r="J60" s="3" t="s">
        <v>6</v>
      </c>
      <c r="K60" s="3">
        <v>3</v>
      </c>
    </row>
    <row r="61" spans="1:11">
      <c r="A61" s="1"/>
      <c r="B61" s="2"/>
      <c r="C61" s="2"/>
      <c r="D61" s="3" t="s">
        <v>7</v>
      </c>
      <c r="E61" s="3">
        <v>3</v>
      </c>
      <c r="I61" s="2"/>
      <c r="J61" s="3" t="s">
        <v>7</v>
      </c>
      <c r="K61" s="3">
        <v>3</v>
      </c>
    </row>
    <row r="62" spans="1:11">
      <c r="A62" s="1"/>
      <c r="B62" s="2"/>
      <c r="C62" s="2" t="s">
        <v>16</v>
      </c>
      <c r="D62" s="3"/>
      <c r="E62" s="3"/>
      <c r="I62" s="2" t="s">
        <v>16</v>
      </c>
      <c r="J62" s="3"/>
      <c r="K62" s="3"/>
    </row>
    <row r="63" spans="1:12">
      <c r="A63" s="1"/>
      <c r="B63" s="2"/>
      <c r="C63" s="2"/>
      <c r="D63" s="3" t="s">
        <v>11</v>
      </c>
      <c r="E63" s="3">
        <v>32</v>
      </c>
      <c r="F63">
        <f>PRODUCT(E63:E65)</f>
        <v>262144</v>
      </c>
      <c r="I63" s="2"/>
      <c r="J63" s="3" t="s">
        <v>11</v>
      </c>
      <c r="K63" s="3">
        <v>32</v>
      </c>
      <c r="L63">
        <f>PRODUCT(K63:K65)</f>
        <v>262144</v>
      </c>
    </row>
    <row r="64" spans="1:11">
      <c r="A64" s="1"/>
      <c r="B64" s="2"/>
      <c r="C64" s="2"/>
      <c r="D64" s="3" t="s">
        <v>12</v>
      </c>
      <c r="E64" s="3">
        <v>32</v>
      </c>
      <c r="I64" s="2"/>
      <c r="J64" s="3" t="s">
        <v>12</v>
      </c>
      <c r="K64" s="3">
        <v>32</v>
      </c>
    </row>
    <row r="65" spans="1:11">
      <c r="A65" s="1"/>
      <c r="B65" s="2"/>
      <c r="C65" s="2"/>
      <c r="D65" s="3" t="s">
        <v>13</v>
      </c>
      <c r="E65" s="3">
        <v>256</v>
      </c>
      <c r="I65" s="2"/>
      <c r="J65" s="3" t="s">
        <v>13</v>
      </c>
      <c r="K65" s="3">
        <v>256</v>
      </c>
    </row>
    <row r="66" spans="1:11">
      <c r="A66" s="1"/>
      <c r="B66" s="2"/>
      <c r="C66" s="2" t="s">
        <v>44</v>
      </c>
      <c r="D66" s="3"/>
      <c r="E66" s="3"/>
      <c r="I66" s="2" t="s">
        <v>44</v>
      </c>
      <c r="J66" s="3"/>
      <c r="K66" s="3"/>
    </row>
    <row r="67" spans="1:12">
      <c r="A67" s="1"/>
      <c r="B67" s="2"/>
      <c r="C67" s="2"/>
      <c r="D67" s="3" t="s">
        <v>8</v>
      </c>
      <c r="E67" s="3">
        <v>32</v>
      </c>
      <c r="F67">
        <f>2*PRODUCT(E67:E72)</f>
        <v>1207959552</v>
      </c>
      <c r="I67" s="2"/>
      <c r="J67" s="3" t="s">
        <v>8</v>
      </c>
      <c r="K67" s="3">
        <v>32</v>
      </c>
      <c r="L67">
        <f>2*PRODUCT(K67:K72)</f>
        <v>1207959552</v>
      </c>
    </row>
    <row r="68" spans="1:11">
      <c r="A68" s="1"/>
      <c r="B68" s="2"/>
      <c r="C68" s="2"/>
      <c r="D68" s="3" t="s">
        <v>9</v>
      </c>
      <c r="E68" s="3">
        <v>32</v>
      </c>
      <c r="I68" s="2"/>
      <c r="J68" s="3" t="s">
        <v>9</v>
      </c>
      <c r="K68" s="3">
        <v>32</v>
      </c>
    </row>
    <row r="69" spans="1:11">
      <c r="A69" s="1"/>
      <c r="B69" s="2"/>
      <c r="C69" s="2"/>
      <c r="D69" s="3" t="s">
        <v>15</v>
      </c>
      <c r="E69" s="3">
        <v>256</v>
      </c>
      <c r="I69" s="2"/>
      <c r="J69" s="3" t="s">
        <v>15</v>
      </c>
      <c r="K69" s="3">
        <v>256</v>
      </c>
    </row>
    <row r="70" spans="1:11">
      <c r="A70" s="1"/>
      <c r="B70" s="2"/>
      <c r="C70" s="2"/>
      <c r="D70" s="3" t="s">
        <v>34</v>
      </c>
      <c r="E70" s="3">
        <v>256</v>
      </c>
      <c r="I70" s="2"/>
      <c r="J70" s="3" t="s">
        <v>34</v>
      </c>
      <c r="K70" s="3">
        <v>256</v>
      </c>
    </row>
    <row r="71" spans="1:11">
      <c r="A71" s="1"/>
      <c r="B71" s="2"/>
      <c r="C71" s="2"/>
      <c r="D71" s="3" t="s">
        <v>6</v>
      </c>
      <c r="E71" s="3">
        <v>3</v>
      </c>
      <c r="I71" s="2"/>
      <c r="J71" s="3" t="s">
        <v>6</v>
      </c>
      <c r="K71" s="3">
        <v>3</v>
      </c>
    </row>
    <row r="72" spans="1:11">
      <c r="A72" s="1"/>
      <c r="B72" s="2"/>
      <c r="C72" s="2"/>
      <c r="D72" s="3" t="s">
        <v>7</v>
      </c>
      <c r="E72" s="3">
        <v>3</v>
      </c>
      <c r="I72" s="2"/>
      <c r="J72" s="3" t="s">
        <v>7</v>
      </c>
      <c r="K72" s="3">
        <v>3</v>
      </c>
    </row>
    <row r="73" spans="1:11">
      <c r="A73" s="1"/>
      <c r="B73" s="2"/>
      <c r="C73" s="2" t="s">
        <v>16</v>
      </c>
      <c r="D73" s="3"/>
      <c r="E73" s="3"/>
      <c r="I73" s="2" t="s">
        <v>16</v>
      </c>
      <c r="J73" s="3"/>
      <c r="K73" s="3"/>
    </row>
    <row r="74" spans="1:12">
      <c r="A74" s="1"/>
      <c r="B74" s="2"/>
      <c r="C74" s="2"/>
      <c r="D74" s="3" t="s">
        <v>11</v>
      </c>
      <c r="E74" s="3">
        <v>32</v>
      </c>
      <c r="F74">
        <f>PRODUCT(E74:E76)</f>
        <v>262144</v>
      </c>
      <c r="I74" s="2"/>
      <c r="J74" s="3" t="s">
        <v>11</v>
      </c>
      <c r="K74" s="3">
        <v>32</v>
      </c>
      <c r="L74">
        <f>PRODUCT(K74:K76)</f>
        <v>262144</v>
      </c>
    </row>
    <row r="75" spans="1:11">
      <c r="A75" s="1"/>
      <c r="B75" s="2"/>
      <c r="C75" s="2"/>
      <c r="D75" s="3" t="s">
        <v>12</v>
      </c>
      <c r="E75" s="3">
        <v>32</v>
      </c>
      <c r="I75" s="2"/>
      <c r="J75" s="3" t="s">
        <v>12</v>
      </c>
      <c r="K75" s="3">
        <v>32</v>
      </c>
    </row>
    <row r="76" spans="1:11">
      <c r="A76" s="1"/>
      <c r="B76" s="2"/>
      <c r="C76" s="2"/>
      <c r="D76" s="3" t="s">
        <v>13</v>
      </c>
      <c r="E76" s="3">
        <v>256</v>
      </c>
      <c r="I76" s="2"/>
      <c r="J76" s="3" t="s">
        <v>13</v>
      </c>
      <c r="K76" s="3">
        <v>256</v>
      </c>
    </row>
    <row r="77" spans="1:12">
      <c r="A77" s="1"/>
      <c r="B77" s="2"/>
      <c r="C77" s="3"/>
      <c r="D77" s="3"/>
      <c r="E77" s="3"/>
      <c r="F77" s="4">
        <f>SUM(F56,F63,F67,F74)</f>
        <v>1812463616</v>
      </c>
      <c r="I77" s="3"/>
      <c r="J77" s="3"/>
      <c r="K77" s="3"/>
      <c r="L77" s="4">
        <f>SUM(L56,L63,L67,L74)</f>
        <v>4832362496</v>
      </c>
    </row>
    <row r="78" spans="1:1">
      <c r="A78" s="1"/>
    </row>
    <row r="79" spans="1:1">
      <c r="A79" s="1"/>
    </row>
    <row r="80" spans="1:5">
      <c r="A80" s="1"/>
      <c r="B80" s="2" t="s">
        <v>45</v>
      </c>
      <c r="C80" s="3"/>
      <c r="D80" s="3" t="s">
        <v>24</v>
      </c>
      <c r="E80" s="3"/>
    </row>
    <row r="81" spans="1:5">
      <c r="A81" s="1"/>
      <c r="B81" s="2"/>
      <c r="C81" s="2" t="s">
        <v>46</v>
      </c>
      <c r="D81" s="3"/>
      <c r="E81" s="3"/>
    </row>
    <row r="82" spans="1:6">
      <c r="A82" s="1"/>
      <c r="B82" s="2"/>
      <c r="C82" s="2"/>
      <c r="D82" s="3" t="s">
        <v>8</v>
      </c>
      <c r="E82" s="3">
        <v>16</v>
      </c>
      <c r="F82">
        <f>2*PRODUCT(E82:E87)</f>
        <v>603979776</v>
      </c>
    </row>
    <row r="83" spans="1:5">
      <c r="A83" s="1"/>
      <c r="B83" s="2"/>
      <c r="C83" s="2"/>
      <c r="D83" s="3" t="s">
        <v>9</v>
      </c>
      <c r="E83" s="3">
        <v>16</v>
      </c>
    </row>
    <row r="84" spans="1:5">
      <c r="A84" s="1"/>
      <c r="B84" s="2"/>
      <c r="C84" s="2"/>
      <c r="D84" s="3" t="s">
        <v>15</v>
      </c>
      <c r="E84" s="3">
        <v>512</v>
      </c>
    </row>
    <row r="85" spans="1:5">
      <c r="A85" s="1"/>
      <c r="B85" s="2"/>
      <c r="C85" s="2"/>
      <c r="D85" s="3" t="s">
        <v>34</v>
      </c>
      <c r="E85" s="3">
        <v>256</v>
      </c>
    </row>
    <row r="86" spans="1:5">
      <c r="A86" s="1"/>
      <c r="B86" s="2"/>
      <c r="C86" s="2"/>
      <c r="D86" s="3" t="s">
        <v>6</v>
      </c>
      <c r="E86" s="3">
        <v>3</v>
      </c>
    </row>
    <row r="87" spans="1:5">
      <c r="A87" s="1"/>
      <c r="B87" s="2"/>
      <c r="C87" s="2"/>
      <c r="D87" s="3" t="s">
        <v>7</v>
      </c>
      <c r="E87" s="3">
        <v>3</v>
      </c>
    </row>
    <row r="88" spans="1:5">
      <c r="A88" s="1"/>
      <c r="B88" s="2"/>
      <c r="C88" s="2" t="s">
        <v>16</v>
      </c>
      <c r="D88" s="3"/>
      <c r="E88" s="3"/>
    </row>
    <row r="89" spans="1:6">
      <c r="A89" s="1"/>
      <c r="B89" s="2"/>
      <c r="C89" s="2"/>
      <c r="D89" s="3" t="s">
        <v>11</v>
      </c>
      <c r="E89" s="3">
        <v>16</v>
      </c>
      <c r="F89">
        <f>PRODUCT(E89:E91)</f>
        <v>131072</v>
      </c>
    </row>
    <row r="90" spans="1:5">
      <c r="A90" s="1"/>
      <c r="B90" s="2"/>
      <c r="C90" s="2"/>
      <c r="D90" s="3" t="s">
        <v>12</v>
      </c>
      <c r="E90" s="3">
        <v>16</v>
      </c>
    </row>
    <row r="91" spans="1:5">
      <c r="A91" s="1"/>
      <c r="B91" s="2"/>
      <c r="C91" s="2"/>
      <c r="D91" s="3" t="s">
        <v>13</v>
      </c>
      <c r="E91" s="3">
        <v>512</v>
      </c>
    </row>
    <row r="92" spans="1:5">
      <c r="A92" s="1"/>
      <c r="B92" s="2"/>
      <c r="C92" s="2" t="s">
        <v>46</v>
      </c>
      <c r="D92" s="3"/>
      <c r="E92" s="3"/>
    </row>
    <row r="93" spans="1:6">
      <c r="A93" s="1"/>
      <c r="B93" s="2"/>
      <c r="C93" s="2"/>
      <c r="D93" s="3" t="s">
        <v>8</v>
      </c>
      <c r="E93" s="3">
        <v>16</v>
      </c>
      <c r="F93">
        <f>2*PRODUCT(E93:E98)</f>
        <v>1207959552</v>
      </c>
    </row>
    <row r="94" spans="1:5">
      <c r="A94" s="1"/>
      <c r="B94" s="2"/>
      <c r="C94" s="2"/>
      <c r="D94" s="3" t="s">
        <v>9</v>
      </c>
      <c r="E94" s="3">
        <v>16</v>
      </c>
    </row>
    <row r="95" spans="1:5">
      <c r="A95" s="1"/>
      <c r="B95" s="2"/>
      <c r="C95" s="2"/>
      <c r="D95" s="3" t="s">
        <v>15</v>
      </c>
      <c r="E95" s="3">
        <v>512</v>
      </c>
    </row>
    <row r="96" spans="1:5">
      <c r="A96" s="1"/>
      <c r="B96" s="2"/>
      <c r="C96" s="2"/>
      <c r="D96" s="3" t="s">
        <v>34</v>
      </c>
      <c r="E96" s="3">
        <v>512</v>
      </c>
    </row>
    <row r="97" spans="1:5">
      <c r="A97" s="1"/>
      <c r="B97" s="2"/>
      <c r="C97" s="2"/>
      <c r="D97" s="3" t="s">
        <v>6</v>
      </c>
      <c r="E97" s="3">
        <v>3</v>
      </c>
    </row>
    <row r="98" spans="1:5">
      <c r="A98" s="1"/>
      <c r="B98" s="2"/>
      <c r="C98" s="2"/>
      <c r="D98" s="3" t="s">
        <v>7</v>
      </c>
      <c r="E98" s="3">
        <v>3</v>
      </c>
    </row>
    <row r="99" spans="1:5">
      <c r="A99" s="1"/>
      <c r="B99" s="2"/>
      <c r="C99" s="2" t="s">
        <v>16</v>
      </c>
      <c r="D99" s="3"/>
      <c r="E99" s="3"/>
    </row>
    <row r="100" spans="1:6">
      <c r="A100" s="1"/>
      <c r="B100" s="2"/>
      <c r="C100" s="2"/>
      <c r="D100" s="3" t="s">
        <v>11</v>
      </c>
      <c r="E100" s="3">
        <v>16</v>
      </c>
      <c r="F100">
        <f>PRODUCT(E100:E102)</f>
        <v>131072</v>
      </c>
    </row>
    <row r="101" spans="1:5">
      <c r="A101" s="1"/>
      <c r="B101" s="2"/>
      <c r="C101" s="2"/>
      <c r="D101" s="3" t="s">
        <v>12</v>
      </c>
      <c r="E101" s="3">
        <v>16</v>
      </c>
    </row>
    <row r="102" spans="1:5">
      <c r="A102" s="1"/>
      <c r="B102" s="2"/>
      <c r="C102" s="2"/>
      <c r="D102" s="3" t="s">
        <v>13</v>
      </c>
      <c r="E102" s="3">
        <v>512</v>
      </c>
    </row>
    <row r="103" spans="1:6">
      <c r="A103" s="1"/>
      <c r="B103" s="2"/>
      <c r="C103" s="3"/>
      <c r="D103" s="3"/>
      <c r="E103" s="3"/>
      <c r="F103" s="4">
        <f>SUM(F82,F89,F93,F100)</f>
        <v>1812201472</v>
      </c>
    </row>
    <row r="104" spans="1:1">
      <c r="A104" s="1"/>
    </row>
    <row r="105" spans="1:1">
      <c r="A105" s="1"/>
    </row>
    <row r="106" spans="1:11">
      <c r="A106" s="1"/>
      <c r="B106" s="2" t="s">
        <v>47</v>
      </c>
      <c r="C106" s="3"/>
      <c r="D106" s="3" t="s">
        <v>27</v>
      </c>
      <c r="E106" s="3"/>
      <c r="I106" s="3"/>
      <c r="J106" s="3" t="s">
        <v>24</v>
      </c>
      <c r="K106" s="3"/>
    </row>
    <row r="107" spans="1:11">
      <c r="A107" s="1"/>
      <c r="B107" s="2"/>
      <c r="C107" s="2" t="s">
        <v>48</v>
      </c>
      <c r="D107" s="3"/>
      <c r="E107" s="3"/>
      <c r="I107" s="2" t="s">
        <v>46</v>
      </c>
      <c r="J107" s="3"/>
      <c r="K107" s="3"/>
    </row>
    <row r="108" spans="1:12">
      <c r="A108" s="1"/>
      <c r="B108" s="2"/>
      <c r="C108" s="2"/>
      <c r="D108" s="3" t="s">
        <v>8</v>
      </c>
      <c r="E108" s="3">
        <v>8</v>
      </c>
      <c r="F108">
        <f>2*PRODUCT(E108:E113)</f>
        <v>603979776</v>
      </c>
      <c r="I108" s="2"/>
      <c r="J108" s="3" t="s">
        <v>8</v>
      </c>
      <c r="K108" s="3">
        <v>16</v>
      </c>
      <c r="L108">
        <f>2*PRODUCT(K108:K113)</f>
        <v>3623878656</v>
      </c>
    </row>
    <row r="109" spans="1:11">
      <c r="A109" s="1"/>
      <c r="B109" s="2"/>
      <c r="C109" s="2"/>
      <c r="D109" s="3" t="s">
        <v>9</v>
      </c>
      <c r="E109" s="3">
        <v>8</v>
      </c>
      <c r="I109" s="2"/>
      <c r="J109" s="3" t="s">
        <v>9</v>
      </c>
      <c r="K109" s="3">
        <v>16</v>
      </c>
    </row>
    <row r="110" spans="1:11">
      <c r="A110" s="1"/>
      <c r="B110" s="2"/>
      <c r="C110" s="2"/>
      <c r="D110" s="3" t="s">
        <v>15</v>
      </c>
      <c r="E110" s="3">
        <v>1024</v>
      </c>
      <c r="I110" s="2"/>
      <c r="J110" s="3" t="s">
        <v>15</v>
      </c>
      <c r="K110" s="3">
        <v>512</v>
      </c>
    </row>
    <row r="111" spans="1:11">
      <c r="A111" s="1"/>
      <c r="B111" s="2"/>
      <c r="C111" s="2"/>
      <c r="D111" s="3" t="s">
        <v>34</v>
      </c>
      <c r="E111" s="3">
        <v>512</v>
      </c>
      <c r="I111" s="2"/>
      <c r="J111" s="3" t="s">
        <v>34</v>
      </c>
      <c r="K111" s="6">
        <v>1536</v>
      </c>
    </row>
    <row r="112" spans="1:11">
      <c r="A112" s="1"/>
      <c r="B112" s="2"/>
      <c r="C112" s="2"/>
      <c r="D112" s="3" t="s">
        <v>6</v>
      </c>
      <c r="E112" s="3">
        <v>3</v>
      </c>
      <c r="I112" s="2"/>
      <c r="J112" s="3" t="s">
        <v>6</v>
      </c>
      <c r="K112" s="3">
        <v>3</v>
      </c>
    </row>
    <row r="113" spans="1:11">
      <c r="A113" s="1"/>
      <c r="B113" s="2"/>
      <c r="C113" s="2"/>
      <c r="D113" s="3" t="s">
        <v>7</v>
      </c>
      <c r="E113" s="3">
        <v>3</v>
      </c>
      <c r="I113" s="2"/>
      <c r="J113" s="3" t="s">
        <v>7</v>
      </c>
      <c r="K113" s="3">
        <v>3</v>
      </c>
    </row>
    <row r="114" spans="1:11">
      <c r="A114" s="1"/>
      <c r="B114" s="2"/>
      <c r="C114" s="2" t="s">
        <v>16</v>
      </c>
      <c r="D114" s="3"/>
      <c r="E114" s="3"/>
      <c r="I114" s="2" t="s">
        <v>16</v>
      </c>
      <c r="J114" s="3"/>
      <c r="K114" s="3"/>
    </row>
    <row r="115" spans="1:12">
      <c r="A115" s="1"/>
      <c r="B115" s="2"/>
      <c r="C115" s="2"/>
      <c r="D115" s="3" t="s">
        <v>11</v>
      </c>
      <c r="E115" s="3">
        <v>8</v>
      </c>
      <c r="F115">
        <f>PRODUCT(E115:E117)</f>
        <v>65536</v>
      </c>
      <c r="I115" s="2"/>
      <c r="J115" s="3" t="s">
        <v>11</v>
      </c>
      <c r="K115" s="3">
        <v>16</v>
      </c>
      <c r="L115">
        <f>PRODUCT(K115:K117)</f>
        <v>131072</v>
      </c>
    </row>
    <row r="116" spans="1:11">
      <c r="A116" s="1"/>
      <c r="B116" s="2"/>
      <c r="C116" s="2"/>
      <c r="D116" s="3" t="s">
        <v>12</v>
      </c>
      <c r="E116" s="3">
        <v>8</v>
      </c>
      <c r="I116" s="2"/>
      <c r="J116" s="3" t="s">
        <v>12</v>
      </c>
      <c r="K116" s="3">
        <v>16</v>
      </c>
    </row>
    <row r="117" spans="1:11">
      <c r="A117" s="1"/>
      <c r="B117" s="2"/>
      <c r="C117" s="2"/>
      <c r="D117" s="3" t="s">
        <v>13</v>
      </c>
      <c r="E117" s="3">
        <v>1024</v>
      </c>
      <c r="I117" s="2"/>
      <c r="J117" s="3" t="s">
        <v>13</v>
      </c>
      <c r="K117" s="3">
        <v>512</v>
      </c>
    </row>
    <row r="118" spans="1:11">
      <c r="A118" s="1"/>
      <c r="B118" s="2"/>
      <c r="C118" s="2" t="s">
        <v>48</v>
      </c>
      <c r="D118" s="3"/>
      <c r="E118" s="3"/>
      <c r="I118" s="2" t="s">
        <v>46</v>
      </c>
      <c r="J118" s="3"/>
      <c r="K118" s="3"/>
    </row>
    <row r="119" spans="1:12">
      <c r="A119" s="1"/>
      <c r="B119" s="2"/>
      <c r="C119" s="2"/>
      <c r="D119" s="3" t="s">
        <v>8</v>
      </c>
      <c r="E119" s="3">
        <v>8</v>
      </c>
      <c r="F119">
        <f>2*PRODUCT(E119:E124)</f>
        <v>1207959552</v>
      </c>
      <c r="I119" s="2"/>
      <c r="J119" s="3" t="s">
        <v>8</v>
      </c>
      <c r="K119" s="3">
        <v>16</v>
      </c>
      <c r="L119">
        <f>2*PRODUCT(K119:K124)</f>
        <v>1207959552</v>
      </c>
    </row>
    <row r="120" spans="1:11">
      <c r="A120" s="1"/>
      <c r="B120" s="2"/>
      <c r="C120" s="2"/>
      <c r="D120" s="3" t="s">
        <v>9</v>
      </c>
      <c r="E120" s="3">
        <v>8</v>
      </c>
      <c r="I120" s="2"/>
      <c r="J120" s="3" t="s">
        <v>9</v>
      </c>
      <c r="K120" s="3">
        <v>16</v>
      </c>
    </row>
    <row r="121" spans="1:11">
      <c r="A121" s="1"/>
      <c r="B121" s="2"/>
      <c r="C121" s="2"/>
      <c r="D121" s="3" t="s">
        <v>15</v>
      </c>
      <c r="E121" s="3">
        <v>1024</v>
      </c>
      <c r="I121" s="2"/>
      <c r="J121" s="3" t="s">
        <v>15</v>
      </c>
      <c r="K121" s="3">
        <v>512</v>
      </c>
    </row>
    <row r="122" spans="1:11">
      <c r="A122" s="1"/>
      <c r="B122" s="2"/>
      <c r="C122" s="2"/>
      <c r="D122" s="3" t="s">
        <v>34</v>
      </c>
      <c r="E122" s="3">
        <v>1024</v>
      </c>
      <c r="I122" s="2"/>
      <c r="J122" s="3" t="s">
        <v>34</v>
      </c>
      <c r="K122" s="3">
        <v>512</v>
      </c>
    </row>
    <row r="123" spans="1:11">
      <c r="A123" s="1"/>
      <c r="B123" s="2"/>
      <c r="C123" s="2"/>
      <c r="D123" s="3" t="s">
        <v>6</v>
      </c>
      <c r="E123" s="3">
        <v>3</v>
      </c>
      <c r="I123" s="2"/>
      <c r="J123" s="3" t="s">
        <v>6</v>
      </c>
      <c r="K123" s="3">
        <v>3</v>
      </c>
    </row>
    <row r="124" spans="1:11">
      <c r="A124" s="1"/>
      <c r="B124" s="2"/>
      <c r="C124" s="2"/>
      <c r="D124" s="3" t="s">
        <v>7</v>
      </c>
      <c r="E124" s="3">
        <v>3</v>
      </c>
      <c r="I124" s="2"/>
      <c r="J124" s="3" t="s">
        <v>7</v>
      </c>
      <c r="K124" s="3">
        <v>3</v>
      </c>
    </row>
    <row r="125" spans="1:11">
      <c r="A125" s="1"/>
      <c r="B125" s="2"/>
      <c r="C125" s="2" t="s">
        <v>16</v>
      </c>
      <c r="D125" s="3"/>
      <c r="E125" s="3"/>
      <c r="I125" s="2" t="s">
        <v>16</v>
      </c>
      <c r="J125" s="3"/>
      <c r="K125" s="3"/>
    </row>
    <row r="126" spans="1:12">
      <c r="A126" s="1"/>
      <c r="B126" s="2"/>
      <c r="C126" s="2"/>
      <c r="D126" s="3" t="s">
        <v>11</v>
      </c>
      <c r="E126" s="3">
        <v>8</v>
      </c>
      <c r="F126">
        <f>PRODUCT(E126:E128)</f>
        <v>65536</v>
      </c>
      <c r="I126" s="2"/>
      <c r="J126" s="3" t="s">
        <v>11</v>
      </c>
      <c r="K126" s="3">
        <v>16</v>
      </c>
      <c r="L126">
        <f>PRODUCT(K126:K128)</f>
        <v>131072</v>
      </c>
    </row>
    <row r="127" spans="1:11">
      <c r="A127" s="1"/>
      <c r="B127" s="2"/>
      <c r="C127" s="2"/>
      <c r="D127" s="3" t="s">
        <v>12</v>
      </c>
      <c r="E127" s="3">
        <v>8</v>
      </c>
      <c r="I127" s="2"/>
      <c r="J127" s="3" t="s">
        <v>12</v>
      </c>
      <c r="K127" s="3">
        <v>16</v>
      </c>
    </row>
    <row r="128" spans="1:11">
      <c r="A128" s="1"/>
      <c r="B128" s="2"/>
      <c r="C128" s="2"/>
      <c r="D128" s="3" t="s">
        <v>13</v>
      </c>
      <c r="E128" s="3">
        <v>1024</v>
      </c>
      <c r="I128" s="2"/>
      <c r="J128" s="3" t="s">
        <v>13</v>
      </c>
      <c r="K128" s="3">
        <v>512</v>
      </c>
    </row>
    <row r="129" spans="1:12">
      <c r="A129" s="1"/>
      <c r="B129" s="2"/>
      <c r="C129" s="3"/>
      <c r="D129" s="3"/>
      <c r="E129" s="3"/>
      <c r="F129" s="4">
        <f>SUM(F108,F115,F119,F126)</f>
        <v>1812070400</v>
      </c>
      <c r="I129" s="3"/>
      <c r="J129" s="3"/>
      <c r="K129" s="3"/>
      <c r="L129" s="4">
        <f>SUM(L108,L115,L119,L126)</f>
        <v>4832100352</v>
      </c>
    </row>
    <row r="134" spans="1:5">
      <c r="A134" s="7" t="s">
        <v>49</v>
      </c>
      <c r="B134" s="2" t="s">
        <v>45</v>
      </c>
      <c r="C134" s="3"/>
      <c r="D134" s="3" t="s">
        <v>24</v>
      </c>
      <c r="E134" s="3"/>
    </row>
    <row r="135" ht="21" customHeight="1" spans="1:5">
      <c r="A135" s="7"/>
      <c r="B135" s="2"/>
      <c r="C135" s="2" t="s">
        <v>46</v>
      </c>
      <c r="D135" s="3"/>
      <c r="E135" s="3"/>
    </row>
    <row r="136" spans="1:6">
      <c r="A136" s="7"/>
      <c r="B136" s="2"/>
      <c r="C136" s="2"/>
      <c r="D136" s="3" t="s">
        <v>8</v>
      </c>
      <c r="E136" s="3">
        <v>16</v>
      </c>
      <c r="F136">
        <f>2*PRODUCT(E136:E141)</f>
        <v>2415919104</v>
      </c>
    </row>
    <row r="137" spans="1:5">
      <c r="A137" s="7"/>
      <c r="B137" s="2"/>
      <c r="C137" s="2"/>
      <c r="D137" s="3" t="s">
        <v>9</v>
      </c>
      <c r="E137" s="3">
        <v>16</v>
      </c>
    </row>
    <row r="138" spans="1:5">
      <c r="A138" s="7"/>
      <c r="B138" s="2"/>
      <c r="C138" s="2"/>
      <c r="D138" s="3" t="s">
        <v>15</v>
      </c>
      <c r="E138" s="3">
        <v>512</v>
      </c>
    </row>
    <row r="139" spans="1:5">
      <c r="A139" s="7"/>
      <c r="B139" s="2"/>
      <c r="C139" s="2"/>
      <c r="D139" s="3" t="s">
        <v>34</v>
      </c>
      <c r="E139" s="5">
        <v>1024</v>
      </c>
    </row>
    <row r="140" spans="1:5">
      <c r="A140" s="7"/>
      <c r="B140" s="2"/>
      <c r="C140" s="2"/>
      <c r="D140" s="3" t="s">
        <v>6</v>
      </c>
      <c r="E140" s="3">
        <v>3</v>
      </c>
    </row>
    <row r="141" spans="1:5">
      <c r="A141" s="7"/>
      <c r="B141" s="2"/>
      <c r="C141" s="2"/>
      <c r="D141" s="3" t="s">
        <v>7</v>
      </c>
      <c r="E141" s="3">
        <v>3</v>
      </c>
    </row>
    <row r="142" spans="1:5">
      <c r="A142" s="7"/>
      <c r="B142" s="2"/>
      <c r="C142" s="2" t="s">
        <v>16</v>
      </c>
      <c r="D142" s="3"/>
      <c r="E142" s="3"/>
    </row>
    <row r="143" spans="1:6">
      <c r="A143" s="7"/>
      <c r="B143" s="2"/>
      <c r="C143" s="2"/>
      <c r="D143" s="3" t="s">
        <v>11</v>
      </c>
      <c r="E143" s="3">
        <v>16</v>
      </c>
      <c r="F143">
        <f>PRODUCT(E143:E145)</f>
        <v>131072</v>
      </c>
    </row>
    <row r="144" spans="1:5">
      <c r="A144" s="7"/>
      <c r="B144" s="2"/>
      <c r="C144" s="2"/>
      <c r="D144" s="3" t="s">
        <v>12</v>
      </c>
      <c r="E144" s="3">
        <v>16</v>
      </c>
    </row>
    <row r="145" spans="1:5">
      <c r="A145" s="7"/>
      <c r="B145" s="2"/>
      <c r="C145" s="2"/>
      <c r="D145" s="3" t="s">
        <v>13</v>
      </c>
      <c r="E145" s="3">
        <v>512</v>
      </c>
    </row>
    <row r="146" spans="1:5">
      <c r="A146" s="7"/>
      <c r="B146" s="2"/>
      <c r="C146" s="2" t="s">
        <v>46</v>
      </c>
      <c r="D146" s="3"/>
      <c r="E146" s="3"/>
    </row>
    <row r="147" spans="1:6">
      <c r="A147" s="7"/>
      <c r="B147" s="2"/>
      <c r="C147" s="2"/>
      <c r="D147" s="3" t="s">
        <v>8</v>
      </c>
      <c r="E147" s="3">
        <v>16</v>
      </c>
      <c r="F147">
        <f>2*PRODUCT(E147:E152)</f>
        <v>1207959552</v>
      </c>
    </row>
    <row r="148" spans="1:5">
      <c r="A148" s="7"/>
      <c r="B148" s="2"/>
      <c r="C148" s="2"/>
      <c r="D148" s="3" t="s">
        <v>9</v>
      </c>
      <c r="E148" s="3">
        <v>16</v>
      </c>
    </row>
    <row r="149" spans="1:5">
      <c r="A149" s="7"/>
      <c r="B149" s="2"/>
      <c r="C149" s="2"/>
      <c r="D149" s="3" t="s">
        <v>15</v>
      </c>
      <c r="E149" s="3">
        <v>512</v>
      </c>
    </row>
    <row r="150" spans="1:5">
      <c r="A150" s="7"/>
      <c r="B150" s="2"/>
      <c r="C150" s="2"/>
      <c r="D150" s="3" t="s">
        <v>34</v>
      </c>
      <c r="E150" s="3">
        <v>512</v>
      </c>
    </row>
    <row r="151" spans="1:5">
      <c r="A151" s="7"/>
      <c r="B151" s="2"/>
      <c r="C151" s="2"/>
      <c r="D151" s="3" t="s">
        <v>6</v>
      </c>
      <c r="E151" s="3">
        <v>3</v>
      </c>
    </row>
    <row r="152" spans="1:5">
      <c r="A152" s="7"/>
      <c r="B152" s="2"/>
      <c r="C152" s="2"/>
      <c r="D152" s="3" t="s">
        <v>7</v>
      </c>
      <c r="E152" s="3">
        <v>3</v>
      </c>
    </row>
    <row r="153" spans="1:5">
      <c r="A153" s="7"/>
      <c r="B153" s="2"/>
      <c r="C153" s="2" t="s">
        <v>16</v>
      </c>
      <c r="D153" s="3"/>
      <c r="E153" s="3"/>
    </row>
    <row r="154" spans="1:6">
      <c r="A154" s="7"/>
      <c r="B154" s="2"/>
      <c r="C154" s="2"/>
      <c r="D154" s="3" t="s">
        <v>11</v>
      </c>
      <c r="E154" s="3">
        <v>16</v>
      </c>
      <c r="F154">
        <f>PRODUCT(E154:E156)</f>
        <v>131072</v>
      </c>
    </row>
    <row r="155" spans="1:5">
      <c r="A155" s="7"/>
      <c r="B155" s="2"/>
      <c r="C155" s="2"/>
      <c r="D155" s="3" t="s">
        <v>12</v>
      </c>
      <c r="E155" s="3">
        <v>16</v>
      </c>
    </row>
    <row r="156" spans="1:5">
      <c r="A156" s="7"/>
      <c r="B156" s="2"/>
      <c r="C156" s="2"/>
      <c r="D156" s="3" t="s">
        <v>13</v>
      </c>
      <c r="E156" s="3">
        <v>512</v>
      </c>
    </row>
    <row r="157" spans="1:6">
      <c r="A157" s="7"/>
      <c r="B157" s="2"/>
      <c r="C157" s="3"/>
      <c r="D157" s="3"/>
      <c r="E157" s="3"/>
      <c r="F157" s="4">
        <f>SUM(F136,F143,F147,F154)</f>
        <v>3624140800</v>
      </c>
    </row>
    <row r="158" spans="1:1">
      <c r="A158" s="7"/>
    </row>
    <row r="159" spans="1:1">
      <c r="A159" s="7"/>
    </row>
    <row r="160" spans="1:5">
      <c r="A160" s="7"/>
      <c r="B160" s="2" t="s">
        <v>43</v>
      </c>
      <c r="C160" s="3"/>
      <c r="D160" s="3" t="s">
        <v>21</v>
      </c>
      <c r="E160" s="3"/>
    </row>
    <row r="161" spans="1:5">
      <c r="A161" s="7"/>
      <c r="B161" s="2"/>
      <c r="C161" s="2" t="s">
        <v>44</v>
      </c>
      <c r="D161" s="3"/>
      <c r="E161" s="3"/>
    </row>
    <row r="162" spans="1:6">
      <c r="A162" s="7"/>
      <c r="B162" s="2"/>
      <c r="C162" s="2"/>
      <c r="D162" s="3" t="s">
        <v>8</v>
      </c>
      <c r="E162" s="3">
        <v>32</v>
      </c>
      <c r="F162">
        <f>2*PRODUCT(E162:E167)</f>
        <v>3623878656</v>
      </c>
    </row>
    <row r="163" spans="1:5">
      <c r="A163" s="7"/>
      <c r="B163" s="2"/>
      <c r="C163" s="2"/>
      <c r="D163" s="3" t="s">
        <v>9</v>
      </c>
      <c r="E163" s="3">
        <v>32</v>
      </c>
    </row>
    <row r="164" spans="1:5">
      <c r="A164" s="7"/>
      <c r="B164" s="2"/>
      <c r="C164" s="2"/>
      <c r="D164" s="3" t="s">
        <v>15</v>
      </c>
      <c r="E164" s="3">
        <v>256</v>
      </c>
    </row>
    <row r="165" spans="1:5">
      <c r="A165" s="7"/>
      <c r="B165" s="2"/>
      <c r="C165" s="2"/>
      <c r="D165" s="3" t="s">
        <v>34</v>
      </c>
      <c r="E165" s="5">
        <v>768</v>
      </c>
    </row>
    <row r="166" spans="1:5">
      <c r="A166" s="7"/>
      <c r="B166" s="2"/>
      <c r="C166" s="2"/>
      <c r="D166" s="3" t="s">
        <v>6</v>
      </c>
      <c r="E166" s="3">
        <v>3</v>
      </c>
    </row>
    <row r="167" spans="1:5">
      <c r="A167" s="7"/>
      <c r="B167" s="2"/>
      <c r="C167" s="2"/>
      <c r="D167" s="3" t="s">
        <v>7</v>
      </c>
      <c r="E167" s="3">
        <v>3</v>
      </c>
    </row>
    <row r="168" spans="1:5">
      <c r="A168" s="7"/>
      <c r="B168" s="2"/>
      <c r="C168" s="2" t="s">
        <v>16</v>
      </c>
      <c r="D168" s="3"/>
      <c r="E168" s="3"/>
    </row>
    <row r="169" spans="1:6">
      <c r="A169" s="7"/>
      <c r="B169" s="2"/>
      <c r="C169" s="2"/>
      <c r="D169" s="3" t="s">
        <v>11</v>
      </c>
      <c r="E169" s="3">
        <v>32</v>
      </c>
      <c r="F169">
        <f>PRODUCT(E169:E171)</f>
        <v>262144</v>
      </c>
    </row>
    <row r="170" spans="1:5">
      <c r="A170" s="7"/>
      <c r="B170" s="2"/>
      <c r="C170" s="2"/>
      <c r="D170" s="3" t="s">
        <v>12</v>
      </c>
      <c r="E170" s="3">
        <v>32</v>
      </c>
    </row>
    <row r="171" spans="1:5">
      <c r="A171" s="7"/>
      <c r="B171" s="2"/>
      <c r="C171" s="2"/>
      <c r="D171" s="3" t="s">
        <v>13</v>
      </c>
      <c r="E171" s="3">
        <v>256</v>
      </c>
    </row>
    <row r="172" spans="1:5">
      <c r="A172" s="7"/>
      <c r="B172" s="2"/>
      <c r="C172" s="2" t="s">
        <v>44</v>
      </c>
      <c r="D172" s="3"/>
      <c r="E172" s="3"/>
    </row>
    <row r="173" spans="1:6">
      <c r="A173" s="7"/>
      <c r="B173" s="2"/>
      <c r="C173" s="2"/>
      <c r="D173" s="3" t="s">
        <v>8</v>
      </c>
      <c r="E173" s="3">
        <v>32</v>
      </c>
      <c r="F173">
        <f>2*PRODUCT(E173:E178)</f>
        <v>1207959552</v>
      </c>
    </row>
    <row r="174" spans="1:5">
      <c r="A174" s="7"/>
      <c r="B174" s="2"/>
      <c r="C174" s="2"/>
      <c r="D174" s="3" t="s">
        <v>9</v>
      </c>
      <c r="E174" s="3">
        <v>32</v>
      </c>
    </row>
    <row r="175" spans="1:5">
      <c r="A175" s="7"/>
      <c r="B175" s="2"/>
      <c r="C175" s="2"/>
      <c r="D175" s="3" t="s">
        <v>15</v>
      </c>
      <c r="E175" s="3">
        <v>256</v>
      </c>
    </row>
    <row r="176" spans="1:5">
      <c r="A176" s="7"/>
      <c r="B176" s="2"/>
      <c r="C176" s="2"/>
      <c r="D176" s="3" t="s">
        <v>34</v>
      </c>
      <c r="E176" s="3">
        <v>256</v>
      </c>
    </row>
    <row r="177" spans="1:5">
      <c r="A177" s="7"/>
      <c r="B177" s="2"/>
      <c r="C177" s="2"/>
      <c r="D177" s="3" t="s">
        <v>6</v>
      </c>
      <c r="E177" s="3">
        <v>3</v>
      </c>
    </row>
    <row r="178" spans="1:5">
      <c r="A178" s="7"/>
      <c r="B178" s="2"/>
      <c r="C178" s="2"/>
      <c r="D178" s="3" t="s">
        <v>7</v>
      </c>
      <c r="E178" s="3">
        <v>3</v>
      </c>
    </row>
    <row r="179" spans="1:5">
      <c r="A179" s="7"/>
      <c r="B179" s="2"/>
      <c r="C179" s="2" t="s">
        <v>16</v>
      </c>
      <c r="D179" s="3"/>
      <c r="E179" s="3"/>
    </row>
    <row r="180" spans="1:6">
      <c r="A180" s="7"/>
      <c r="B180" s="2"/>
      <c r="C180" s="2"/>
      <c r="D180" s="3" t="s">
        <v>11</v>
      </c>
      <c r="E180" s="3">
        <v>32</v>
      </c>
      <c r="F180">
        <f>PRODUCT(E180:E182)</f>
        <v>262144</v>
      </c>
    </row>
    <row r="181" spans="1:5">
      <c r="A181" s="7"/>
      <c r="B181" s="2"/>
      <c r="C181" s="2"/>
      <c r="D181" s="3" t="s">
        <v>12</v>
      </c>
      <c r="E181" s="3">
        <v>32</v>
      </c>
    </row>
    <row r="182" spans="1:5">
      <c r="A182" s="7"/>
      <c r="B182" s="2"/>
      <c r="C182" s="2"/>
      <c r="D182" s="3" t="s">
        <v>13</v>
      </c>
      <c r="E182" s="3">
        <v>256</v>
      </c>
    </row>
    <row r="183" spans="1:6">
      <c r="A183" s="7"/>
      <c r="B183" s="2"/>
      <c r="C183" s="3"/>
      <c r="D183" s="3"/>
      <c r="E183" s="3"/>
      <c r="F183" s="4">
        <f>SUM(F162,F169,F173,F180)</f>
        <v>4832362496</v>
      </c>
    </row>
    <row r="184" spans="1:1">
      <c r="A184" s="7"/>
    </row>
    <row r="185" spans="1:1">
      <c r="A185" s="7"/>
    </row>
    <row r="186" spans="1:5">
      <c r="A186" s="7"/>
      <c r="B186" s="2" t="s">
        <v>42</v>
      </c>
      <c r="C186" s="3"/>
      <c r="D186" s="3" t="s">
        <v>18</v>
      </c>
      <c r="E186" s="3"/>
    </row>
    <row r="187" spans="1:5">
      <c r="A187" s="7"/>
      <c r="B187" s="2"/>
      <c r="C187" s="2" t="s">
        <v>33</v>
      </c>
      <c r="D187" s="3"/>
      <c r="E187" s="3"/>
    </row>
    <row r="188" spans="1:6">
      <c r="A188" s="7"/>
      <c r="B188" s="2"/>
      <c r="C188" s="2"/>
      <c r="D188" s="3" t="s">
        <v>8</v>
      </c>
      <c r="E188" s="3">
        <v>64</v>
      </c>
      <c r="F188">
        <f>2*PRODUCT(E188:E193)</f>
        <v>3623878656</v>
      </c>
    </row>
    <row r="189" spans="1:5">
      <c r="A189" s="7"/>
      <c r="B189" s="2"/>
      <c r="C189" s="2"/>
      <c r="D189" s="3" t="s">
        <v>9</v>
      </c>
      <c r="E189" s="3">
        <v>64</v>
      </c>
    </row>
    <row r="190" spans="1:5">
      <c r="A190" s="7"/>
      <c r="B190" s="2"/>
      <c r="C190" s="2"/>
      <c r="D190" s="3" t="s">
        <v>15</v>
      </c>
      <c r="E190" s="3">
        <v>128</v>
      </c>
    </row>
    <row r="191" spans="1:5">
      <c r="A191" s="7"/>
      <c r="B191" s="2"/>
      <c r="C191" s="2"/>
      <c r="D191" s="3" t="s">
        <v>34</v>
      </c>
      <c r="E191" s="5">
        <v>384</v>
      </c>
    </row>
    <row r="192" spans="1:5">
      <c r="A192" s="7"/>
      <c r="B192" s="2"/>
      <c r="C192" s="2"/>
      <c r="D192" s="3" t="s">
        <v>6</v>
      </c>
      <c r="E192" s="3">
        <v>3</v>
      </c>
    </row>
    <row r="193" spans="1:5">
      <c r="A193" s="7"/>
      <c r="B193" s="2"/>
      <c r="C193" s="2"/>
      <c r="D193" s="3" t="s">
        <v>7</v>
      </c>
      <c r="E193" s="3">
        <v>3</v>
      </c>
    </row>
    <row r="194" spans="1:5">
      <c r="A194" s="7"/>
      <c r="B194" s="2"/>
      <c r="C194" s="2" t="s">
        <v>16</v>
      </c>
      <c r="D194" s="3"/>
      <c r="E194" s="3"/>
    </row>
    <row r="195" spans="1:6">
      <c r="A195" s="7"/>
      <c r="B195" s="2"/>
      <c r="C195" s="2"/>
      <c r="D195" s="3" t="s">
        <v>11</v>
      </c>
      <c r="E195" s="3">
        <v>64</v>
      </c>
      <c r="F195">
        <f>PRODUCT(E195:E197)</f>
        <v>524288</v>
      </c>
    </row>
    <row r="196" spans="1:5">
      <c r="A196" s="7"/>
      <c r="B196" s="2"/>
      <c r="C196" s="2"/>
      <c r="D196" s="3" t="s">
        <v>12</v>
      </c>
      <c r="E196" s="3">
        <v>64</v>
      </c>
    </row>
    <row r="197" spans="1:5">
      <c r="A197" s="7"/>
      <c r="B197" s="2"/>
      <c r="C197" s="2"/>
      <c r="D197" s="3" t="s">
        <v>13</v>
      </c>
      <c r="E197" s="3">
        <v>128</v>
      </c>
    </row>
    <row r="198" spans="1:5">
      <c r="A198" s="7"/>
      <c r="B198" s="2"/>
      <c r="C198" s="2" t="s">
        <v>33</v>
      </c>
      <c r="D198" s="3"/>
      <c r="E198" s="3"/>
    </row>
    <row r="199" spans="1:6">
      <c r="A199" s="7"/>
      <c r="B199" s="2"/>
      <c r="C199" s="2"/>
      <c r="D199" s="3" t="s">
        <v>8</v>
      </c>
      <c r="E199" s="3">
        <v>64</v>
      </c>
      <c r="F199">
        <f>2*PRODUCT(E199:E204)</f>
        <v>1207959552</v>
      </c>
    </row>
    <row r="200" spans="1:5">
      <c r="A200" s="7"/>
      <c r="B200" s="2"/>
      <c r="C200" s="2"/>
      <c r="D200" s="3" t="s">
        <v>9</v>
      </c>
      <c r="E200" s="3">
        <v>64</v>
      </c>
    </row>
    <row r="201" spans="1:5">
      <c r="A201" s="7"/>
      <c r="B201" s="2"/>
      <c r="C201" s="2"/>
      <c r="D201" s="3" t="s">
        <v>15</v>
      </c>
      <c r="E201" s="3">
        <v>128</v>
      </c>
    </row>
    <row r="202" spans="1:5">
      <c r="A202" s="7"/>
      <c r="B202" s="2"/>
      <c r="C202" s="2"/>
      <c r="D202" s="3" t="s">
        <v>34</v>
      </c>
      <c r="E202" s="3">
        <v>128</v>
      </c>
    </row>
    <row r="203" spans="1:5">
      <c r="A203" s="7"/>
      <c r="B203" s="2"/>
      <c r="C203" s="2"/>
      <c r="D203" s="3" t="s">
        <v>6</v>
      </c>
      <c r="E203" s="3">
        <v>3</v>
      </c>
    </row>
    <row r="204" spans="1:5">
      <c r="A204" s="7"/>
      <c r="B204" s="2"/>
      <c r="C204" s="2"/>
      <c r="D204" s="3" t="s">
        <v>7</v>
      </c>
      <c r="E204" s="3">
        <v>3</v>
      </c>
    </row>
    <row r="205" spans="1:5">
      <c r="A205" s="7"/>
      <c r="B205" s="2"/>
      <c r="C205" s="2" t="s">
        <v>16</v>
      </c>
      <c r="D205" s="3"/>
      <c r="E205" s="3"/>
    </row>
    <row r="206" spans="1:6">
      <c r="A206" s="7"/>
      <c r="B206" s="2"/>
      <c r="C206" s="2"/>
      <c r="D206" s="3" t="s">
        <v>11</v>
      </c>
      <c r="E206" s="3">
        <v>64</v>
      </c>
      <c r="F206">
        <f>PRODUCT(E206:E208)</f>
        <v>524288</v>
      </c>
    </row>
    <row r="207" spans="1:5">
      <c r="A207" s="7"/>
      <c r="B207" s="2"/>
      <c r="C207" s="2"/>
      <c r="D207" s="3" t="s">
        <v>12</v>
      </c>
      <c r="E207" s="3">
        <v>64</v>
      </c>
    </row>
    <row r="208" spans="1:5">
      <c r="A208" s="7"/>
      <c r="B208" s="2"/>
      <c r="C208" s="2"/>
      <c r="D208" s="3" t="s">
        <v>13</v>
      </c>
      <c r="E208" s="3">
        <v>128</v>
      </c>
    </row>
    <row r="209" spans="1:6">
      <c r="A209" s="7"/>
      <c r="B209" s="2"/>
      <c r="C209" s="3"/>
      <c r="D209" s="3"/>
      <c r="E209" s="3"/>
      <c r="F209" s="4">
        <f>SUM(F188,F195,F199,F206)</f>
        <v>4832886784</v>
      </c>
    </row>
    <row r="210" spans="1:1">
      <c r="A210" s="7"/>
    </row>
    <row r="211" spans="1:1">
      <c r="A211" s="7"/>
    </row>
    <row r="212" spans="1:5">
      <c r="A212" s="7"/>
      <c r="B212" s="2" t="s">
        <v>39</v>
      </c>
      <c r="C212" s="3"/>
      <c r="D212" s="3" t="s">
        <v>40</v>
      </c>
      <c r="E212" s="3"/>
    </row>
    <row r="213" spans="1:5">
      <c r="A213" s="7"/>
      <c r="B213" s="2"/>
      <c r="C213" s="2" t="s">
        <v>33</v>
      </c>
      <c r="D213" s="3"/>
      <c r="E213" s="3"/>
    </row>
    <row r="214" spans="1:6">
      <c r="A214" s="7"/>
      <c r="B214" s="2"/>
      <c r="C214" s="2"/>
      <c r="D214" s="3" t="s">
        <v>8</v>
      </c>
      <c r="E214" s="3">
        <v>128</v>
      </c>
      <c r="F214">
        <f>2*PRODUCT(E214:E219)</f>
        <v>7247757312</v>
      </c>
    </row>
    <row r="215" spans="1:5">
      <c r="A215" s="7"/>
      <c r="B215" s="2"/>
      <c r="C215" s="2"/>
      <c r="D215" s="3" t="s">
        <v>9</v>
      </c>
      <c r="E215" s="3">
        <v>128</v>
      </c>
    </row>
    <row r="216" spans="1:5">
      <c r="A216" s="7"/>
      <c r="B216" s="2"/>
      <c r="C216" s="2"/>
      <c r="D216" s="3" t="s">
        <v>15</v>
      </c>
      <c r="E216" s="3">
        <v>64</v>
      </c>
    </row>
    <row r="217" spans="1:5">
      <c r="A217" s="7"/>
      <c r="B217" s="2"/>
      <c r="C217" s="2"/>
      <c r="D217" s="3" t="s">
        <v>34</v>
      </c>
      <c r="E217" s="5">
        <v>384</v>
      </c>
    </row>
    <row r="218" spans="1:5">
      <c r="A218" s="7"/>
      <c r="B218" s="2"/>
      <c r="C218" s="2"/>
      <c r="D218" s="3" t="s">
        <v>6</v>
      </c>
      <c r="E218" s="3">
        <v>3</v>
      </c>
    </row>
    <row r="219" spans="1:5">
      <c r="A219" s="7"/>
      <c r="B219" s="2"/>
      <c r="C219" s="2"/>
      <c r="D219" s="3" t="s">
        <v>7</v>
      </c>
      <c r="E219" s="3">
        <v>3</v>
      </c>
    </row>
    <row r="220" spans="1:5">
      <c r="A220" s="7"/>
      <c r="B220" s="2"/>
      <c r="C220" s="2" t="s">
        <v>16</v>
      </c>
      <c r="D220" s="3"/>
      <c r="E220" s="3"/>
    </row>
    <row r="221" spans="1:6">
      <c r="A221" s="7"/>
      <c r="B221" s="2"/>
      <c r="C221" s="2"/>
      <c r="D221" s="3" t="s">
        <v>11</v>
      </c>
      <c r="E221" s="3">
        <v>128</v>
      </c>
      <c r="F221">
        <f>PRODUCT(E221:E223)</f>
        <v>1048576</v>
      </c>
    </row>
    <row r="222" spans="1:5">
      <c r="A222" s="7"/>
      <c r="B222" s="2"/>
      <c r="C222" s="2"/>
      <c r="D222" s="3" t="s">
        <v>12</v>
      </c>
      <c r="E222" s="3">
        <v>128</v>
      </c>
    </row>
    <row r="223" spans="1:5">
      <c r="A223" s="7"/>
      <c r="B223" s="2"/>
      <c r="C223" s="2"/>
      <c r="D223" s="3" t="s">
        <v>13</v>
      </c>
      <c r="E223" s="3">
        <v>64</v>
      </c>
    </row>
    <row r="224" spans="1:5">
      <c r="A224" s="7"/>
      <c r="B224" s="2"/>
      <c r="C224" s="2" t="s">
        <v>33</v>
      </c>
      <c r="D224" s="3"/>
      <c r="E224" s="3"/>
    </row>
    <row r="225" spans="1:6">
      <c r="A225" s="7"/>
      <c r="B225" s="2"/>
      <c r="C225" s="2"/>
      <c r="D225" s="3" t="s">
        <v>8</v>
      </c>
      <c r="E225" s="3">
        <v>128</v>
      </c>
      <c r="F225">
        <f>2*PRODUCT(E225:E230)</f>
        <v>1207959552</v>
      </c>
    </row>
    <row r="226" spans="1:5">
      <c r="A226" s="7"/>
      <c r="B226" s="2"/>
      <c r="C226" s="2"/>
      <c r="D226" s="3" t="s">
        <v>9</v>
      </c>
      <c r="E226" s="3">
        <v>128</v>
      </c>
    </row>
    <row r="227" spans="1:5">
      <c r="A227" s="7"/>
      <c r="B227" s="2"/>
      <c r="C227" s="2"/>
      <c r="D227" s="3" t="s">
        <v>15</v>
      </c>
      <c r="E227" s="3">
        <v>64</v>
      </c>
    </row>
    <row r="228" spans="1:5">
      <c r="A228" s="7"/>
      <c r="B228" s="2"/>
      <c r="C228" s="2"/>
      <c r="D228" s="3" t="s">
        <v>34</v>
      </c>
      <c r="E228" s="3">
        <v>64</v>
      </c>
    </row>
    <row r="229" spans="1:5">
      <c r="A229" s="7"/>
      <c r="B229" s="2"/>
      <c r="C229" s="2"/>
      <c r="D229" s="3" t="s">
        <v>6</v>
      </c>
      <c r="E229" s="3">
        <v>3</v>
      </c>
    </row>
    <row r="230" spans="1:5">
      <c r="A230" s="7"/>
      <c r="B230" s="2"/>
      <c r="C230" s="2"/>
      <c r="D230" s="3" t="s">
        <v>7</v>
      </c>
      <c r="E230" s="3">
        <v>3</v>
      </c>
    </row>
    <row r="231" spans="1:5">
      <c r="A231" s="7"/>
      <c r="B231" s="2"/>
      <c r="C231" s="2" t="s">
        <v>16</v>
      </c>
      <c r="D231" s="3"/>
      <c r="E231" s="3"/>
    </row>
    <row r="232" spans="1:6">
      <c r="A232" s="7"/>
      <c r="B232" s="2"/>
      <c r="C232" s="2"/>
      <c r="D232" s="3" t="s">
        <v>11</v>
      </c>
      <c r="E232" s="3">
        <v>128</v>
      </c>
      <c r="F232">
        <f>PRODUCT(E232:E234)</f>
        <v>1048576</v>
      </c>
    </row>
    <row r="233" spans="1:5">
      <c r="A233" s="7"/>
      <c r="B233" s="2"/>
      <c r="C233" s="2"/>
      <c r="D233" s="3" t="s">
        <v>12</v>
      </c>
      <c r="E233" s="3">
        <v>128</v>
      </c>
    </row>
    <row r="234" spans="1:5">
      <c r="A234" s="7"/>
      <c r="B234" s="2"/>
      <c r="C234" s="2"/>
      <c r="D234" s="3" t="s">
        <v>13</v>
      </c>
      <c r="E234" s="3">
        <v>64</v>
      </c>
    </row>
    <row r="235" spans="1:6">
      <c r="A235" s="7"/>
      <c r="B235" s="2"/>
      <c r="C235" s="3"/>
      <c r="D235" s="3"/>
      <c r="E235" s="3"/>
      <c r="F235" s="4">
        <f>SUM(F214,F221,F225,F232)</f>
        <v>8457814016</v>
      </c>
    </row>
    <row r="239" spans="2:5">
      <c r="B239" s="2" t="s">
        <v>50</v>
      </c>
      <c r="C239" s="3"/>
      <c r="D239" s="3" t="s">
        <v>40</v>
      </c>
      <c r="E239" s="3"/>
    </row>
    <row r="240" spans="2:5">
      <c r="B240" s="2"/>
      <c r="C240" s="2" t="s">
        <v>51</v>
      </c>
      <c r="D240" s="3"/>
      <c r="E240" s="3"/>
    </row>
    <row r="241" spans="2:6">
      <c r="B241" s="2"/>
      <c r="C241" s="2"/>
      <c r="D241" s="3" t="s">
        <v>8</v>
      </c>
      <c r="E241" s="3">
        <v>128</v>
      </c>
      <c r="F241">
        <f>2*PRODUCT(E241:E246)</f>
        <v>37748736</v>
      </c>
    </row>
    <row r="242" spans="2:5">
      <c r="B242" s="2"/>
      <c r="C242" s="2"/>
      <c r="D242" s="3" t="s">
        <v>9</v>
      </c>
      <c r="E242" s="3">
        <v>128</v>
      </c>
    </row>
    <row r="243" spans="2:5">
      <c r="B243" s="2"/>
      <c r="C243" s="2"/>
      <c r="D243" s="3" t="s">
        <v>15</v>
      </c>
      <c r="E243" s="3">
        <v>2</v>
      </c>
    </row>
    <row r="244" spans="2:5">
      <c r="B244" s="2"/>
      <c r="C244" s="2"/>
      <c r="D244" s="3" t="s">
        <v>34</v>
      </c>
      <c r="E244" s="3">
        <v>64</v>
      </c>
    </row>
    <row r="245" spans="2:5">
      <c r="B245" s="2"/>
      <c r="C245" s="2"/>
      <c r="D245" s="3" t="s">
        <v>6</v>
      </c>
      <c r="E245" s="3">
        <v>3</v>
      </c>
    </row>
    <row r="246" spans="2:5">
      <c r="B246" s="2"/>
      <c r="C246" s="2"/>
      <c r="D246" s="3" t="s">
        <v>7</v>
      </c>
      <c r="E246" s="3">
        <v>3</v>
      </c>
    </row>
    <row r="247" spans="2:5">
      <c r="B247" s="2"/>
      <c r="C247" s="2" t="s">
        <v>16</v>
      </c>
      <c r="D247" s="3"/>
      <c r="E247" s="3"/>
    </row>
    <row r="248" spans="2:6">
      <c r="B248" s="2"/>
      <c r="C248" s="2"/>
      <c r="D248" s="3" t="s">
        <v>11</v>
      </c>
      <c r="E248" s="3">
        <v>128</v>
      </c>
      <c r="F248">
        <f>PRODUCT(E248:E250)</f>
        <v>32768</v>
      </c>
    </row>
    <row r="249" spans="2:5">
      <c r="B249" s="2"/>
      <c r="C249" s="2"/>
      <c r="D249" s="3" t="s">
        <v>12</v>
      </c>
      <c r="E249" s="3">
        <v>128</v>
      </c>
    </row>
    <row r="250" spans="2:5">
      <c r="B250" s="2"/>
      <c r="C250" s="2"/>
      <c r="D250" s="3" t="s">
        <v>13</v>
      </c>
      <c r="E250" s="3">
        <v>2</v>
      </c>
    </row>
    <row r="251" spans="2:5">
      <c r="B251" s="2"/>
      <c r="C251" s="2" t="s">
        <v>52</v>
      </c>
      <c r="D251" s="3"/>
      <c r="E251" s="3"/>
    </row>
    <row r="252" spans="2:6">
      <c r="B252" s="2"/>
      <c r="C252" s="2"/>
      <c r="D252" s="3" t="s">
        <v>8</v>
      </c>
      <c r="E252" s="3">
        <v>128</v>
      </c>
      <c r="F252">
        <f>2*PRODUCT(E252:E257)</f>
        <v>589824</v>
      </c>
    </row>
    <row r="253" spans="2:5">
      <c r="B253" s="2"/>
      <c r="C253" s="2"/>
      <c r="D253" s="3" t="s">
        <v>9</v>
      </c>
      <c r="E253" s="3">
        <v>128</v>
      </c>
    </row>
    <row r="254" spans="2:5">
      <c r="B254" s="2"/>
      <c r="C254" s="2"/>
      <c r="D254" s="3" t="s">
        <v>15</v>
      </c>
      <c r="E254" s="3">
        <v>1</v>
      </c>
    </row>
    <row r="255" spans="2:5">
      <c r="B255" s="2"/>
      <c r="C255" s="2"/>
      <c r="D255" s="3" t="s">
        <v>34</v>
      </c>
      <c r="E255" s="3">
        <v>2</v>
      </c>
    </row>
    <row r="256" spans="2:5">
      <c r="B256" s="2"/>
      <c r="C256" s="2"/>
      <c r="D256" s="3" t="s">
        <v>6</v>
      </c>
      <c r="E256" s="3">
        <v>3</v>
      </c>
    </row>
    <row r="257" spans="2:5">
      <c r="B257" s="2"/>
      <c r="C257" s="2"/>
      <c r="D257" s="3" t="s">
        <v>7</v>
      </c>
      <c r="E257" s="3">
        <v>3</v>
      </c>
    </row>
    <row r="258" spans="2:5">
      <c r="B258" s="2"/>
      <c r="C258" s="2" t="s">
        <v>16</v>
      </c>
      <c r="D258" s="3"/>
      <c r="E258" s="3"/>
    </row>
    <row r="259" spans="2:6">
      <c r="B259" s="2"/>
      <c r="C259" s="2"/>
      <c r="D259" s="3" t="s">
        <v>11</v>
      </c>
      <c r="E259" s="3">
        <v>128</v>
      </c>
      <c r="F259">
        <f>PRODUCT(E259:E261)</f>
        <v>16384</v>
      </c>
    </row>
    <row r="260" spans="2:5">
      <c r="B260" s="2"/>
      <c r="C260" s="2"/>
      <c r="D260" s="3" t="s">
        <v>12</v>
      </c>
      <c r="E260" s="3">
        <v>128</v>
      </c>
    </row>
    <row r="261" spans="2:5">
      <c r="B261" s="2"/>
      <c r="C261" s="2"/>
      <c r="D261" s="3" t="s">
        <v>13</v>
      </c>
      <c r="E261" s="3">
        <v>1</v>
      </c>
    </row>
    <row r="262" spans="2:5">
      <c r="B262" s="2"/>
      <c r="C262" s="2" t="s">
        <v>33</v>
      </c>
      <c r="D262" s="3"/>
      <c r="E262" s="3"/>
    </row>
    <row r="263" spans="2:6">
      <c r="B263" s="2"/>
      <c r="C263" s="2"/>
      <c r="D263" s="3" t="s">
        <v>8</v>
      </c>
      <c r="E263" s="3">
        <v>128</v>
      </c>
      <c r="F263">
        <f>2*PRODUCT(E263:E268)</f>
        <v>37748736</v>
      </c>
    </row>
    <row r="264" spans="2:5">
      <c r="B264" s="2"/>
      <c r="C264" s="2"/>
      <c r="D264" s="3" t="s">
        <v>9</v>
      </c>
      <c r="E264" s="3">
        <v>128</v>
      </c>
    </row>
    <row r="265" spans="2:5">
      <c r="B265" s="2"/>
      <c r="C265" s="2"/>
      <c r="D265" s="3" t="s">
        <v>15</v>
      </c>
      <c r="E265" s="3">
        <v>128</v>
      </c>
    </row>
    <row r="266" spans="2:5">
      <c r="B266" s="2"/>
      <c r="C266" s="2"/>
      <c r="D266" s="3" t="s">
        <v>34</v>
      </c>
      <c r="E266" s="3">
        <v>1</v>
      </c>
    </row>
    <row r="267" spans="2:5">
      <c r="B267" s="2"/>
      <c r="C267" s="2"/>
      <c r="D267" s="3" t="s">
        <v>6</v>
      </c>
      <c r="E267" s="3">
        <v>3</v>
      </c>
    </row>
    <row r="268" spans="2:5">
      <c r="B268" s="2"/>
      <c r="C268" s="2"/>
      <c r="D268" s="3" t="s">
        <v>7</v>
      </c>
      <c r="E268" s="3">
        <v>3</v>
      </c>
    </row>
    <row r="269" spans="2:5">
      <c r="B269" s="2"/>
      <c r="C269" s="2" t="s">
        <v>16</v>
      </c>
      <c r="D269" s="3"/>
      <c r="E269" s="3"/>
    </row>
    <row r="270" spans="2:6">
      <c r="B270" s="2"/>
      <c r="C270" s="2"/>
      <c r="D270" s="3" t="s">
        <v>11</v>
      </c>
      <c r="E270" s="3">
        <v>128</v>
      </c>
      <c r="F270">
        <f>PRODUCT(E270:E272)</f>
        <v>2097152</v>
      </c>
    </row>
    <row r="271" spans="2:5">
      <c r="B271" s="2"/>
      <c r="C271" s="2"/>
      <c r="D271" s="3" t="s">
        <v>12</v>
      </c>
      <c r="E271" s="3">
        <v>128</v>
      </c>
    </row>
    <row r="272" spans="2:5">
      <c r="B272" s="2"/>
      <c r="C272" s="2"/>
      <c r="D272" s="3" t="s">
        <v>13</v>
      </c>
      <c r="E272" s="3">
        <v>128</v>
      </c>
    </row>
    <row r="273" spans="2:5">
      <c r="B273" s="2"/>
      <c r="C273" s="2" t="s">
        <v>33</v>
      </c>
      <c r="D273" s="3"/>
      <c r="E273" s="3"/>
    </row>
    <row r="274" spans="2:6">
      <c r="B274" s="2"/>
      <c r="C274" s="2"/>
      <c r="D274" s="3" t="s">
        <v>8</v>
      </c>
      <c r="E274" s="3">
        <v>128</v>
      </c>
      <c r="F274">
        <f>2*PRODUCT(E274:E279)</f>
        <v>150994944</v>
      </c>
    </row>
    <row r="275" spans="2:5">
      <c r="B275" s="2"/>
      <c r="C275" s="2"/>
      <c r="D275" s="3" t="s">
        <v>9</v>
      </c>
      <c r="E275" s="3">
        <v>128</v>
      </c>
    </row>
    <row r="276" spans="2:5">
      <c r="B276" s="2"/>
      <c r="C276" s="2"/>
      <c r="D276" s="3" t="s">
        <v>15</v>
      </c>
      <c r="E276" s="3">
        <v>4</v>
      </c>
    </row>
    <row r="277" spans="2:5">
      <c r="B277" s="2"/>
      <c r="C277" s="2"/>
      <c r="D277" s="3" t="s">
        <v>34</v>
      </c>
      <c r="E277" s="3">
        <v>128</v>
      </c>
    </row>
    <row r="278" spans="2:5">
      <c r="B278" s="2"/>
      <c r="C278" s="2"/>
      <c r="D278" s="3" t="s">
        <v>6</v>
      </c>
      <c r="E278" s="3">
        <v>3</v>
      </c>
    </row>
    <row r="279" spans="2:5">
      <c r="B279" s="2"/>
      <c r="C279" s="2"/>
      <c r="D279" s="3" t="s">
        <v>7</v>
      </c>
      <c r="E279" s="3">
        <v>3</v>
      </c>
    </row>
    <row r="280" spans="3:6">
      <c r="C280" s="8"/>
      <c r="D280" s="9"/>
      <c r="E280" s="9"/>
      <c r="F280" s="10">
        <f>SUM(F241,F248,F252,F259,F263,F270,F274)</f>
        <v>229228544</v>
      </c>
    </row>
    <row r="281" spans="3:6">
      <c r="C281" s="8"/>
      <c r="D281" s="9"/>
      <c r="E281" s="9"/>
      <c r="F281" s="11"/>
    </row>
    <row r="282" spans="3:6">
      <c r="C282" s="8"/>
      <c r="D282" s="9"/>
      <c r="E282" s="9"/>
      <c r="F282" s="11"/>
    </row>
    <row r="284" spans="3:3">
      <c r="C284" s="3" t="s">
        <v>53</v>
      </c>
    </row>
    <row r="285" spans="3:3">
      <c r="C285" s="6">
        <f>SUM(F25,L25,R25,X25,F51,L51,R51,F77,L77,F103,F129,L129,F157,F183,F209,F235,F280)</f>
        <v>64324878336</v>
      </c>
    </row>
    <row r="287" spans="3:3">
      <c r="C287">
        <f>C285*10^(-9)</f>
        <v>64.324878336</v>
      </c>
    </row>
  </sheetData>
  <mergeCells count="83">
    <mergeCell ref="A1:A129"/>
    <mergeCell ref="A134:A235"/>
    <mergeCell ref="B2:B25"/>
    <mergeCell ref="B28:B51"/>
    <mergeCell ref="B54:B77"/>
    <mergeCell ref="B80:B103"/>
    <mergeCell ref="B106:B129"/>
    <mergeCell ref="B134:B157"/>
    <mergeCell ref="B160:B183"/>
    <mergeCell ref="B186:B209"/>
    <mergeCell ref="B212:B235"/>
    <mergeCell ref="B239:B279"/>
    <mergeCell ref="C3:C9"/>
    <mergeCell ref="C10:C13"/>
    <mergeCell ref="C14:C20"/>
    <mergeCell ref="C21:C24"/>
    <mergeCell ref="C29:C35"/>
    <mergeCell ref="C36:C39"/>
    <mergeCell ref="C40:C46"/>
    <mergeCell ref="C47:C50"/>
    <mergeCell ref="C55:C61"/>
    <mergeCell ref="C62:C65"/>
    <mergeCell ref="C66:C72"/>
    <mergeCell ref="C73:C76"/>
    <mergeCell ref="C81:C87"/>
    <mergeCell ref="C88:C91"/>
    <mergeCell ref="C92:C98"/>
    <mergeCell ref="C99:C102"/>
    <mergeCell ref="C107:C113"/>
    <mergeCell ref="C114:C117"/>
    <mergeCell ref="C118:C124"/>
    <mergeCell ref="C125:C128"/>
    <mergeCell ref="C135:C141"/>
    <mergeCell ref="C142:C145"/>
    <mergeCell ref="C146:C152"/>
    <mergeCell ref="C153:C156"/>
    <mergeCell ref="C161:C167"/>
    <mergeCell ref="C168:C171"/>
    <mergeCell ref="C172:C178"/>
    <mergeCell ref="C179:C182"/>
    <mergeCell ref="C187:C193"/>
    <mergeCell ref="C194:C197"/>
    <mergeCell ref="C198:C204"/>
    <mergeCell ref="C205:C208"/>
    <mergeCell ref="C213:C219"/>
    <mergeCell ref="C220:C223"/>
    <mergeCell ref="C224:C230"/>
    <mergeCell ref="C231:C234"/>
    <mergeCell ref="C240:C246"/>
    <mergeCell ref="C247:C250"/>
    <mergeCell ref="C251:C257"/>
    <mergeCell ref="C258:C261"/>
    <mergeCell ref="C262:C268"/>
    <mergeCell ref="C269:C272"/>
    <mergeCell ref="C273:C279"/>
    <mergeCell ref="I3:I9"/>
    <mergeCell ref="I10:I13"/>
    <mergeCell ref="I14:I20"/>
    <mergeCell ref="I21:I24"/>
    <mergeCell ref="I29:I35"/>
    <mergeCell ref="I36:I39"/>
    <mergeCell ref="I40:I46"/>
    <mergeCell ref="I47:I50"/>
    <mergeCell ref="I55:I61"/>
    <mergeCell ref="I62:I65"/>
    <mergeCell ref="I66:I72"/>
    <mergeCell ref="I73:I76"/>
    <mergeCell ref="I107:I113"/>
    <mergeCell ref="I114:I117"/>
    <mergeCell ref="I118:I124"/>
    <mergeCell ref="I125:I128"/>
    <mergeCell ref="O3:O9"/>
    <mergeCell ref="O10:O13"/>
    <mergeCell ref="O14:O20"/>
    <mergeCell ref="O21:O24"/>
    <mergeCell ref="O29:O35"/>
    <mergeCell ref="O36:O39"/>
    <mergeCell ref="O40:O46"/>
    <mergeCell ref="O47:O50"/>
    <mergeCell ref="U3:U9"/>
    <mergeCell ref="U10:U13"/>
    <mergeCell ref="U14:U20"/>
    <mergeCell ref="U21:U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7"/>
  <sheetViews>
    <sheetView zoomScale="130" zoomScaleNormal="130" topLeftCell="A275" workbookViewId="0">
      <selection activeCell="C288" sqref="C288"/>
    </sheetView>
  </sheetViews>
  <sheetFormatPr defaultColWidth="8.88888888888889" defaultRowHeight="14.4"/>
  <cols>
    <col min="3" max="3" width="26.7962962962963" customWidth="1"/>
    <col min="6" max="6" width="13.8888888888889" customWidth="1"/>
    <col min="9" max="9" width="11.5" customWidth="1"/>
  </cols>
  <sheetData>
    <row r="1" customFormat="1" spans="1:1">
      <c r="A1" s="1" t="s">
        <v>38</v>
      </c>
    </row>
    <row r="2" customFormat="1" spans="1:23">
      <c r="A2" s="1"/>
      <c r="B2" s="2" t="s">
        <v>39</v>
      </c>
      <c r="C2" s="3"/>
      <c r="D2" s="3" t="s">
        <v>40</v>
      </c>
      <c r="E2" s="3"/>
      <c r="I2" s="3"/>
      <c r="J2" s="3" t="s">
        <v>40</v>
      </c>
      <c r="K2" s="3"/>
      <c r="O2" s="3"/>
      <c r="P2" s="3" t="s">
        <v>40</v>
      </c>
      <c r="Q2" s="3"/>
      <c r="U2" s="3"/>
      <c r="V2" s="3" t="s">
        <v>40</v>
      </c>
      <c r="W2" s="3"/>
    </row>
    <row r="3" customFormat="1" spans="1:23">
      <c r="A3" s="1"/>
      <c r="B3" s="2"/>
      <c r="C3" s="2" t="s">
        <v>41</v>
      </c>
      <c r="D3" s="3"/>
      <c r="E3" s="3"/>
      <c r="I3" s="2" t="s">
        <v>41</v>
      </c>
      <c r="J3" s="3"/>
      <c r="K3" s="3"/>
      <c r="O3" s="2" t="s">
        <v>41</v>
      </c>
      <c r="P3" s="3"/>
      <c r="Q3" s="3"/>
      <c r="U3" s="2" t="s">
        <v>41</v>
      </c>
      <c r="V3" s="3"/>
      <c r="W3" s="3"/>
    </row>
    <row r="4" customFormat="1" spans="1:24">
      <c r="A4" s="1"/>
      <c r="B4" s="2"/>
      <c r="C4" s="2"/>
      <c r="D4" s="3" t="s">
        <v>8</v>
      </c>
      <c r="E4" s="3">
        <v>128</v>
      </c>
      <c r="F4">
        <f>2*PRODUCT(E4:E9)</f>
        <v>56623104</v>
      </c>
      <c r="I4" s="2"/>
      <c r="J4" s="3" t="s">
        <v>8</v>
      </c>
      <c r="K4" s="3">
        <v>128</v>
      </c>
      <c r="L4">
        <f>2*PRODUCT(K4:K9)</f>
        <v>3623878656</v>
      </c>
      <c r="O4" s="2"/>
      <c r="P4" s="3" t="s">
        <v>8</v>
      </c>
      <c r="Q4" s="3">
        <v>128</v>
      </c>
      <c r="R4">
        <f>2*PRODUCT(Q4:Q9)</f>
        <v>3623878656</v>
      </c>
      <c r="U4" s="2"/>
      <c r="V4" s="3" t="s">
        <v>8</v>
      </c>
      <c r="W4" s="3">
        <v>128</v>
      </c>
      <c r="X4">
        <f>2*PRODUCT(W4:W9)</f>
        <v>3623878656</v>
      </c>
    </row>
    <row r="5" customFormat="1" spans="1:23">
      <c r="A5" s="1"/>
      <c r="B5" s="2"/>
      <c r="C5" s="2"/>
      <c r="D5" s="3" t="s">
        <v>9</v>
      </c>
      <c r="E5" s="3">
        <v>128</v>
      </c>
      <c r="I5" s="2"/>
      <c r="J5" s="3" t="s">
        <v>9</v>
      </c>
      <c r="K5" s="3">
        <v>128</v>
      </c>
      <c r="O5" s="2"/>
      <c r="P5" s="3" t="s">
        <v>9</v>
      </c>
      <c r="Q5" s="3">
        <v>128</v>
      </c>
      <c r="U5" s="2"/>
      <c r="V5" s="3" t="s">
        <v>9</v>
      </c>
      <c r="W5" s="3">
        <v>128</v>
      </c>
    </row>
    <row r="6" customFormat="1" spans="1:23">
      <c r="A6" s="1"/>
      <c r="B6" s="2"/>
      <c r="C6" s="2"/>
      <c r="D6" s="3" t="s">
        <v>15</v>
      </c>
      <c r="E6" s="3">
        <v>64</v>
      </c>
      <c r="I6" s="2"/>
      <c r="J6" s="3" t="s">
        <v>15</v>
      </c>
      <c r="K6" s="3">
        <v>64</v>
      </c>
      <c r="O6" s="2"/>
      <c r="P6" s="3" t="s">
        <v>15</v>
      </c>
      <c r="Q6" s="3">
        <v>64</v>
      </c>
      <c r="U6" s="2"/>
      <c r="V6" s="3" t="s">
        <v>15</v>
      </c>
      <c r="W6" s="3">
        <v>64</v>
      </c>
    </row>
    <row r="7" customFormat="1" spans="1:23">
      <c r="A7" s="1"/>
      <c r="B7" s="2"/>
      <c r="C7" s="2"/>
      <c r="D7" s="3" t="s">
        <v>34</v>
      </c>
      <c r="E7" s="3">
        <v>3</v>
      </c>
      <c r="I7" s="2"/>
      <c r="J7" s="3" t="s">
        <v>34</v>
      </c>
      <c r="K7" s="5">
        <v>192</v>
      </c>
      <c r="O7" s="2"/>
      <c r="P7" s="3" t="s">
        <v>34</v>
      </c>
      <c r="Q7" s="5">
        <v>192</v>
      </c>
      <c r="U7" s="2"/>
      <c r="V7" s="3" t="s">
        <v>34</v>
      </c>
      <c r="W7" s="5">
        <v>192</v>
      </c>
    </row>
    <row r="8" customFormat="1" spans="1:23">
      <c r="A8" s="1"/>
      <c r="B8" s="2"/>
      <c r="C8" s="2"/>
      <c r="D8" s="3" t="s">
        <v>6</v>
      </c>
      <c r="E8" s="3">
        <v>3</v>
      </c>
      <c r="I8" s="2"/>
      <c r="J8" s="3" t="s">
        <v>6</v>
      </c>
      <c r="K8" s="3">
        <v>3</v>
      </c>
      <c r="O8" s="2"/>
      <c r="P8" s="3" t="s">
        <v>6</v>
      </c>
      <c r="Q8" s="3">
        <v>3</v>
      </c>
      <c r="U8" s="2"/>
      <c r="V8" s="3" t="s">
        <v>6</v>
      </c>
      <c r="W8" s="3">
        <v>3</v>
      </c>
    </row>
    <row r="9" customFormat="1" spans="1:23">
      <c r="A9" s="1"/>
      <c r="B9" s="2"/>
      <c r="C9" s="2"/>
      <c r="D9" s="3" t="s">
        <v>7</v>
      </c>
      <c r="E9" s="3">
        <v>3</v>
      </c>
      <c r="I9" s="2"/>
      <c r="J9" s="3" t="s">
        <v>7</v>
      </c>
      <c r="K9" s="3">
        <v>3</v>
      </c>
      <c r="O9" s="2"/>
      <c r="P9" s="3" t="s">
        <v>7</v>
      </c>
      <c r="Q9" s="3">
        <v>3</v>
      </c>
      <c r="U9" s="2"/>
      <c r="V9" s="3" t="s">
        <v>7</v>
      </c>
      <c r="W9" s="3">
        <v>3</v>
      </c>
    </row>
    <row r="10" customFormat="1" spans="1:23">
      <c r="A10" s="1"/>
      <c r="B10" s="2"/>
      <c r="C10" s="2" t="s">
        <v>16</v>
      </c>
      <c r="D10" s="3"/>
      <c r="E10" s="3"/>
      <c r="I10" s="2" t="s">
        <v>16</v>
      </c>
      <c r="J10" s="3"/>
      <c r="K10" s="3"/>
      <c r="O10" s="2" t="s">
        <v>16</v>
      </c>
      <c r="P10" s="3"/>
      <c r="Q10" s="3"/>
      <c r="U10" s="2" t="s">
        <v>16</v>
      </c>
      <c r="V10" s="3"/>
      <c r="W10" s="3"/>
    </row>
    <row r="11" customFormat="1" spans="1:24">
      <c r="A11" s="1"/>
      <c r="B11" s="2"/>
      <c r="C11" s="2"/>
      <c r="D11" s="3" t="s">
        <v>11</v>
      </c>
      <c r="E11" s="3">
        <v>128</v>
      </c>
      <c r="F11">
        <f>PRODUCT(E11:E13)</f>
        <v>1048576</v>
      </c>
      <c r="I11" s="2"/>
      <c r="J11" s="3" t="s">
        <v>11</v>
      </c>
      <c r="K11" s="3">
        <v>128</v>
      </c>
      <c r="L11">
        <f>PRODUCT(K11:K13)</f>
        <v>1048576</v>
      </c>
      <c r="O11" s="2"/>
      <c r="P11" s="3" t="s">
        <v>11</v>
      </c>
      <c r="Q11" s="3">
        <v>128</v>
      </c>
      <c r="R11">
        <f>PRODUCT(Q11:Q13)</f>
        <v>1048576</v>
      </c>
      <c r="U11" s="2"/>
      <c r="V11" s="3" t="s">
        <v>11</v>
      </c>
      <c r="W11" s="3">
        <v>128</v>
      </c>
      <c r="X11">
        <f>PRODUCT(W11:W13)</f>
        <v>1048576</v>
      </c>
    </row>
    <row r="12" customFormat="1" spans="1:23">
      <c r="A12" s="1"/>
      <c r="B12" s="2"/>
      <c r="C12" s="2"/>
      <c r="D12" s="3" t="s">
        <v>12</v>
      </c>
      <c r="E12" s="3">
        <v>128</v>
      </c>
      <c r="I12" s="2"/>
      <c r="J12" s="3" t="s">
        <v>12</v>
      </c>
      <c r="K12" s="3">
        <v>128</v>
      </c>
      <c r="O12" s="2"/>
      <c r="P12" s="3" t="s">
        <v>12</v>
      </c>
      <c r="Q12" s="3">
        <v>128</v>
      </c>
      <c r="U12" s="2"/>
      <c r="V12" s="3" t="s">
        <v>12</v>
      </c>
      <c r="W12" s="3">
        <v>128</v>
      </c>
    </row>
    <row r="13" customFormat="1" spans="1:23">
      <c r="A13" s="1"/>
      <c r="B13" s="2"/>
      <c r="C13" s="2"/>
      <c r="D13" s="3" t="s">
        <v>13</v>
      </c>
      <c r="E13" s="3">
        <v>64</v>
      </c>
      <c r="I13" s="2"/>
      <c r="J13" s="3" t="s">
        <v>13</v>
      </c>
      <c r="K13" s="3">
        <v>64</v>
      </c>
      <c r="O13" s="2"/>
      <c r="P13" s="3" t="s">
        <v>13</v>
      </c>
      <c r="Q13" s="3">
        <v>64</v>
      </c>
      <c r="U13" s="2"/>
      <c r="V13" s="3" t="s">
        <v>13</v>
      </c>
      <c r="W13" s="3">
        <v>64</v>
      </c>
    </row>
    <row r="14" customFormat="1" spans="1:23">
      <c r="A14" s="1"/>
      <c r="B14" s="2"/>
      <c r="C14" s="2" t="s">
        <v>41</v>
      </c>
      <c r="D14" s="3"/>
      <c r="E14" s="3"/>
      <c r="I14" s="2" t="s">
        <v>41</v>
      </c>
      <c r="J14" s="3"/>
      <c r="K14" s="3"/>
      <c r="O14" s="2" t="s">
        <v>41</v>
      </c>
      <c r="P14" s="3"/>
      <c r="Q14" s="3"/>
      <c r="U14" s="2" t="s">
        <v>41</v>
      </c>
      <c r="V14" s="3"/>
      <c r="W14" s="3"/>
    </row>
    <row r="15" customFormat="1" spans="1:24">
      <c r="A15" s="1"/>
      <c r="B15" s="2"/>
      <c r="C15" s="2"/>
      <c r="D15" s="3" t="s">
        <v>8</v>
      </c>
      <c r="E15" s="3">
        <v>128</v>
      </c>
      <c r="F15">
        <f>2*PRODUCT(E15:E20)</f>
        <v>1207959552</v>
      </c>
      <c r="I15" s="2"/>
      <c r="J15" s="3" t="s">
        <v>8</v>
      </c>
      <c r="K15" s="3">
        <v>128</v>
      </c>
      <c r="L15">
        <f>2*PRODUCT(K15:K20)</f>
        <v>1207959552</v>
      </c>
      <c r="O15" s="2"/>
      <c r="P15" s="3" t="s">
        <v>8</v>
      </c>
      <c r="Q15" s="3">
        <v>128</v>
      </c>
      <c r="R15">
        <f>2*PRODUCT(Q15:Q20)</f>
        <v>1207959552</v>
      </c>
      <c r="U15" s="2"/>
      <c r="V15" s="3" t="s">
        <v>8</v>
      </c>
      <c r="W15" s="3">
        <v>128</v>
      </c>
      <c r="X15">
        <f>2*PRODUCT(W15:W20)</f>
        <v>1207959552</v>
      </c>
    </row>
    <row r="16" customFormat="1" spans="1:23">
      <c r="A16" s="1"/>
      <c r="B16" s="2"/>
      <c r="C16" s="2"/>
      <c r="D16" s="3" t="s">
        <v>9</v>
      </c>
      <c r="E16" s="3">
        <v>128</v>
      </c>
      <c r="I16" s="2"/>
      <c r="J16" s="3" t="s">
        <v>9</v>
      </c>
      <c r="K16" s="3">
        <v>128</v>
      </c>
      <c r="O16" s="2"/>
      <c r="P16" s="3" t="s">
        <v>9</v>
      </c>
      <c r="Q16" s="3">
        <v>128</v>
      </c>
      <c r="U16" s="2"/>
      <c r="V16" s="3" t="s">
        <v>9</v>
      </c>
      <c r="W16" s="3">
        <v>128</v>
      </c>
    </row>
    <row r="17" customFormat="1" spans="1:23">
      <c r="A17" s="1"/>
      <c r="B17" s="2"/>
      <c r="C17" s="2"/>
      <c r="D17" s="3" t="s">
        <v>15</v>
      </c>
      <c r="E17" s="3">
        <v>64</v>
      </c>
      <c r="I17" s="2"/>
      <c r="J17" s="3" t="s">
        <v>15</v>
      </c>
      <c r="K17" s="3">
        <v>64</v>
      </c>
      <c r="O17" s="2"/>
      <c r="P17" s="3" t="s">
        <v>15</v>
      </c>
      <c r="Q17" s="3">
        <v>64</v>
      </c>
      <c r="U17" s="2"/>
      <c r="V17" s="3" t="s">
        <v>15</v>
      </c>
      <c r="W17" s="3">
        <v>64</v>
      </c>
    </row>
    <row r="18" customFormat="1" spans="1:23">
      <c r="A18" s="1"/>
      <c r="B18" s="2"/>
      <c r="C18" s="2"/>
      <c r="D18" s="3" t="s">
        <v>34</v>
      </c>
      <c r="E18" s="3">
        <v>64</v>
      </c>
      <c r="I18" s="2"/>
      <c r="J18" s="3" t="s">
        <v>34</v>
      </c>
      <c r="K18" s="3">
        <v>64</v>
      </c>
      <c r="O18" s="2"/>
      <c r="P18" s="3" t="s">
        <v>34</v>
      </c>
      <c r="Q18" s="3">
        <v>64</v>
      </c>
      <c r="U18" s="2"/>
      <c r="V18" s="3" t="s">
        <v>34</v>
      </c>
      <c r="W18" s="3">
        <v>64</v>
      </c>
    </row>
    <row r="19" customFormat="1" spans="1:23">
      <c r="A19" s="1"/>
      <c r="B19" s="2"/>
      <c r="C19" s="2"/>
      <c r="D19" s="3" t="s">
        <v>6</v>
      </c>
      <c r="E19" s="3">
        <v>3</v>
      </c>
      <c r="I19" s="2"/>
      <c r="J19" s="3" t="s">
        <v>6</v>
      </c>
      <c r="K19" s="3">
        <v>3</v>
      </c>
      <c r="O19" s="2"/>
      <c r="P19" s="3" t="s">
        <v>6</v>
      </c>
      <c r="Q19" s="3">
        <v>3</v>
      </c>
      <c r="U19" s="2"/>
      <c r="V19" s="3" t="s">
        <v>6</v>
      </c>
      <c r="W19" s="3">
        <v>3</v>
      </c>
    </row>
    <row r="20" customFormat="1" spans="1:23">
      <c r="A20" s="1"/>
      <c r="B20" s="2"/>
      <c r="C20" s="2"/>
      <c r="D20" s="3" t="s">
        <v>7</v>
      </c>
      <c r="E20" s="3">
        <v>3</v>
      </c>
      <c r="I20" s="2"/>
      <c r="J20" s="3" t="s">
        <v>7</v>
      </c>
      <c r="K20" s="3">
        <v>3</v>
      </c>
      <c r="O20" s="2"/>
      <c r="P20" s="3" t="s">
        <v>7</v>
      </c>
      <c r="Q20" s="3">
        <v>3</v>
      </c>
      <c r="U20" s="2"/>
      <c r="V20" s="3" t="s">
        <v>7</v>
      </c>
      <c r="W20" s="3">
        <v>3</v>
      </c>
    </row>
    <row r="21" customFormat="1" spans="1:23">
      <c r="A21" s="1"/>
      <c r="B21" s="2"/>
      <c r="C21" s="2" t="s">
        <v>16</v>
      </c>
      <c r="D21" s="3"/>
      <c r="E21" s="3"/>
      <c r="I21" s="2" t="s">
        <v>16</v>
      </c>
      <c r="J21" s="3"/>
      <c r="K21" s="3"/>
      <c r="O21" s="2" t="s">
        <v>16</v>
      </c>
      <c r="P21" s="3"/>
      <c r="Q21" s="3"/>
      <c r="U21" s="2" t="s">
        <v>16</v>
      </c>
      <c r="V21" s="3"/>
      <c r="W21" s="3"/>
    </row>
    <row r="22" customFormat="1" spans="1:24">
      <c r="A22" s="1"/>
      <c r="B22" s="2"/>
      <c r="C22" s="2"/>
      <c r="D22" s="3" t="s">
        <v>11</v>
      </c>
      <c r="E22" s="3">
        <v>128</v>
      </c>
      <c r="F22">
        <f>PRODUCT(E22:E24)</f>
        <v>1048576</v>
      </c>
      <c r="I22" s="2"/>
      <c r="J22" s="3" t="s">
        <v>11</v>
      </c>
      <c r="K22" s="3">
        <v>128</v>
      </c>
      <c r="L22">
        <f>PRODUCT(K22:K24)</f>
        <v>1048576</v>
      </c>
      <c r="O22" s="2"/>
      <c r="P22" s="3" t="s">
        <v>11</v>
      </c>
      <c r="Q22" s="3">
        <v>128</v>
      </c>
      <c r="R22">
        <f>PRODUCT(Q22:Q24)</f>
        <v>1048576</v>
      </c>
      <c r="U22" s="2"/>
      <c r="V22" s="3" t="s">
        <v>11</v>
      </c>
      <c r="W22" s="3">
        <v>128</v>
      </c>
      <c r="X22">
        <f>PRODUCT(W22:W24)</f>
        <v>1048576</v>
      </c>
    </row>
    <row r="23" customFormat="1" spans="1:23">
      <c r="A23" s="1"/>
      <c r="B23" s="2"/>
      <c r="C23" s="2"/>
      <c r="D23" s="3" t="s">
        <v>12</v>
      </c>
      <c r="E23" s="3">
        <v>128</v>
      </c>
      <c r="I23" s="2"/>
      <c r="J23" s="3" t="s">
        <v>12</v>
      </c>
      <c r="K23" s="3">
        <v>128</v>
      </c>
      <c r="O23" s="2"/>
      <c r="P23" s="3" t="s">
        <v>12</v>
      </c>
      <c r="Q23" s="3">
        <v>128</v>
      </c>
      <c r="U23" s="2"/>
      <c r="V23" s="3" t="s">
        <v>12</v>
      </c>
      <c r="W23" s="3">
        <v>128</v>
      </c>
    </row>
    <row r="24" customFormat="1" spans="1:23">
      <c r="A24" s="1"/>
      <c r="B24" s="2"/>
      <c r="C24" s="2"/>
      <c r="D24" s="3" t="s">
        <v>13</v>
      </c>
      <c r="E24" s="3">
        <v>64</v>
      </c>
      <c r="I24" s="2"/>
      <c r="J24" s="3" t="s">
        <v>13</v>
      </c>
      <c r="K24" s="3">
        <v>64</v>
      </c>
      <c r="O24" s="2"/>
      <c r="P24" s="3" t="s">
        <v>13</v>
      </c>
      <c r="Q24" s="3">
        <v>64</v>
      </c>
      <c r="U24" s="2"/>
      <c r="V24" s="3" t="s">
        <v>13</v>
      </c>
      <c r="W24" s="3">
        <v>64</v>
      </c>
    </row>
    <row r="25" customFormat="1" spans="1:24">
      <c r="A25" s="1"/>
      <c r="B25" s="2"/>
      <c r="C25" s="3"/>
      <c r="D25" s="3"/>
      <c r="E25" s="3"/>
      <c r="F25" s="4">
        <f>SUM(F4,F11,F15,F22)</f>
        <v>1266679808</v>
      </c>
      <c r="I25" s="3"/>
      <c r="J25" s="3"/>
      <c r="K25" s="3"/>
      <c r="L25" s="4">
        <f>SUM(L4,L11,L15,L22)</f>
        <v>4833935360</v>
      </c>
      <c r="O25" s="3"/>
      <c r="P25" s="3"/>
      <c r="Q25" s="3"/>
      <c r="R25" s="4">
        <f>SUM(R4,R11,R15,R22)</f>
        <v>4833935360</v>
      </c>
      <c r="U25" s="3"/>
      <c r="V25" s="3"/>
      <c r="W25" s="3"/>
      <c r="X25" s="4">
        <f>SUM(X4,X11,X15,X22)</f>
        <v>4833935360</v>
      </c>
    </row>
    <row r="26" customFormat="1" spans="1:1">
      <c r="A26" s="1"/>
    </row>
    <row r="27" customFormat="1" spans="1:1">
      <c r="A27" s="1"/>
    </row>
    <row r="28" customFormat="1" spans="1:17">
      <c r="A28" s="1"/>
      <c r="B28" s="2" t="s">
        <v>42</v>
      </c>
      <c r="C28" s="3"/>
      <c r="D28" s="3" t="s">
        <v>18</v>
      </c>
      <c r="E28" s="3"/>
      <c r="I28" s="3"/>
      <c r="J28" s="3" t="s">
        <v>18</v>
      </c>
      <c r="K28" s="3"/>
      <c r="O28" s="3"/>
      <c r="P28" s="3" t="s">
        <v>18</v>
      </c>
      <c r="Q28" s="3"/>
    </row>
    <row r="29" customFormat="1" spans="1:17">
      <c r="A29" s="1"/>
      <c r="B29" s="2"/>
      <c r="C29" s="2" t="s">
        <v>33</v>
      </c>
      <c r="D29" s="3"/>
      <c r="E29" s="3"/>
      <c r="I29" s="2" t="s">
        <v>33</v>
      </c>
      <c r="J29" s="3"/>
      <c r="K29" s="3"/>
      <c r="O29" s="2" t="s">
        <v>33</v>
      </c>
      <c r="P29" s="3"/>
      <c r="Q29" s="3"/>
    </row>
    <row r="30" customFormat="1" spans="1:18">
      <c r="A30" s="1"/>
      <c r="B30" s="2"/>
      <c r="C30" s="2"/>
      <c r="D30" s="3" t="s">
        <v>8</v>
      </c>
      <c r="E30" s="3">
        <v>64</v>
      </c>
      <c r="F30">
        <f>2*PRODUCT(E30:E35)</f>
        <v>603979776</v>
      </c>
      <c r="I30" s="2"/>
      <c r="J30" s="3" t="s">
        <v>8</v>
      </c>
      <c r="K30" s="3">
        <v>64</v>
      </c>
      <c r="L30">
        <f>2*PRODUCT(K30:K35)</f>
        <v>3623878656</v>
      </c>
      <c r="O30" s="2"/>
      <c r="P30" s="3" t="s">
        <v>8</v>
      </c>
      <c r="Q30" s="3">
        <v>64</v>
      </c>
      <c r="R30">
        <f>2*PRODUCT(Q30:Q35)</f>
        <v>3623878656</v>
      </c>
    </row>
    <row r="31" customFormat="1" spans="1:17">
      <c r="A31" s="1"/>
      <c r="B31" s="2"/>
      <c r="C31" s="2"/>
      <c r="D31" s="3" t="s">
        <v>9</v>
      </c>
      <c r="E31" s="3">
        <v>64</v>
      </c>
      <c r="I31" s="2"/>
      <c r="J31" s="3" t="s">
        <v>9</v>
      </c>
      <c r="K31" s="3">
        <v>64</v>
      </c>
      <c r="O31" s="2"/>
      <c r="P31" s="3" t="s">
        <v>9</v>
      </c>
      <c r="Q31" s="3">
        <v>64</v>
      </c>
    </row>
    <row r="32" customFormat="1" spans="1:17">
      <c r="A32" s="1"/>
      <c r="B32" s="2"/>
      <c r="C32" s="2"/>
      <c r="D32" s="3" t="s">
        <v>15</v>
      </c>
      <c r="E32" s="3">
        <v>128</v>
      </c>
      <c r="I32" s="2"/>
      <c r="J32" s="3" t="s">
        <v>15</v>
      </c>
      <c r="K32" s="3">
        <v>128</v>
      </c>
      <c r="O32" s="2"/>
      <c r="P32" s="3" t="s">
        <v>15</v>
      </c>
      <c r="Q32" s="3">
        <v>128</v>
      </c>
    </row>
    <row r="33" customFormat="1" spans="1:17">
      <c r="A33" s="1"/>
      <c r="B33" s="2"/>
      <c r="C33" s="2"/>
      <c r="D33" s="3" t="s">
        <v>34</v>
      </c>
      <c r="E33" s="3">
        <v>64</v>
      </c>
      <c r="I33" s="2"/>
      <c r="J33" s="3" t="s">
        <v>34</v>
      </c>
      <c r="K33" s="5">
        <v>384</v>
      </c>
      <c r="O33" s="2"/>
      <c r="P33" s="3" t="s">
        <v>34</v>
      </c>
      <c r="Q33" s="5">
        <v>384</v>
      </c>
    </row>
    <row r="34" customFormat="1" spans="1:17">
      <c r="A34" s="1"/>
      <c r="B34" s="2"/>
      <c r="C34" s="2"/>
      <c r="D34" s="3" t="s">
        <v>6</v>
      </c>
      <c r="E34" s="3">
        <v>3</v>
      </c>
      <c r="I34" s="2"/>
      <c r="J34" s="3" t="s">
        <v>6</v>
      </c>
      <c r="K34" s="3">
        <v>3</v>
      </c>
      <c r="O34" s="2"/>
      <c r="P34" s="3" t="s">
        <v>6</v>
      </c>
      <c r="Q34" s="3">
        <v>3</v>
      </c>
    </row>
    <row r="35" customFormat="1" spans="1:17">
      <c r="A35" s="1"/>
      <c r="B35" s="2"/>
      <c r="C35" s="2"/>
      <c r="D35" s="3" t="s">
        <v>7</v>
      </c>
      <c r="E35" s="3">
        <v>3</v>
      </c>
      <c r="I35" s="2"/>
      <c r="J35" s="3" t="s">
        <v>7</v>
      </c>
      <c r="K35" s="3">
        <v>3</v>
      </c>
      <c r="O35" s="2"/>
      <c r="P35" s="3" t="s">
        <v>7</v>
      </c>
      <c r="Q35" s="3">
        <v>3</v>
      </c>
    </row>
    <row r="36" customFormat="1" spans="1:17">
      <c r="A36" s="1"/>
      <c r="B36" s="2"/>
      <c r="C36" s="2" t="s">
        <v>16</v>
      </c>
      <c r="D36" s="3"/>
      <c r="E36" s="3"/>
      <c r="I36" s="2" t="s">
        <v>16</v>
      </c>
      <c r="J36" s="3"/>
      <c r="K36" s="3"/>
      <c r="O36" s="2" t="s">
        <v>16</v>
      </c>
      <c r="P36" s="3"/>
      <c r="Q36" s="3"/>
    </row>
    <row r="37" customFormat="1" spans="1:18">
      <c r="A37" s="1"/>
      <c r="B37" s="2"/>
      <c r="C37" s="2"/>
      <c r="D37" s="3" t="s">
        <v>11</v>
      </c>
      <c r="E37" s="3">
        <v>64</v>
      </c>
      <c r="F37">
        <f>PRODUCT(E37:E39)</f>
        <v>524288</v>
      </c>
      <c r="I37" s="2"/>
      <c r="J37" s="3" t="s">
        <v>11</v>
      </c>
      <c r="K37" s="3">
        <v>64</v>
      </c>
      <c r="L37">
        <f>PRODUCT(K37:K39)</f>
        <v>524288</v>
      </c>
      <c r="O37" s="2"/>
      <c r="P37" s="3" t="s">
        <v>11</v>
      </c>
      <c r="Q37" s="3">
        <v>64</v>
      </c>
      <c r="R37">
        <f>PRODUCT(Q37:Q39)</f>
        <v>524288</v>
      </c>
    </row>
    <row r="38" customFormat="1" spans="1:17">
      <c r="A38" s="1"/>
      <c r="B38" s="2"/>
      <c r="C38" s="2"/>
      <c r="D38" s="3" t="s">
        <v>12</v>
      </c>
      <c r="E38" s="3">
        <v>64</v>
      </c>
      <c r="I38" s="2"/>
      <c r="J38" s="3" t="s">
        <v>12</v>
      </c>
      <c r="K38" s="3">
        <v>64</v>
      </c>
      <c r="O38" s="2"/>
      <c r="P38" s="3" t="s">
        <v>12</v>
      </c>
      <c r="Q38" s="3">
        <v>64</v>
      </c>
    </row>
    <row r="39" customFormat="1" spans="1:17">
      <c r="A39" s="1"/>
      <c r="B39" s="2"/>
      <c r="C39" s="2"/>
      <c r="D39" s="3" t="s">
        <v>13</v>
      </c>
      <c r="E39" s="3">
        <v>128</v>
      </c>
      <c r="I39" s="2"/>
      <c r="J39" s="3" t="s">
        <v>13</v>
      </c>
      <c r="K39" s="3">
        <v>128</v>
      </c>
      <c r="O39" s="2"/>
      <c r="P39" s="3" t="s">
        <v>13</v>
      </c>
      <c r="Q39" s="3">
        <v>128</v>
      </c>
    </row>
    <row r="40" customFormat="1" spans="1:17">
      <c r="A40" s="1"/>
      <c r="B40" s="2"/>
      <c r="C40" s="2" t="s">
        <v>33</v>
      </c>
      <c r="D40" s="3"/>
      <c r="E40" s="3"/>
      <c r="I40" s="2" t="s">
        <v>33</v>
      </c>
      <c r="J40" s="3"/>
      <c r="K40" s="3"/>
      <c r="O40" s="2" t="s">
        <v>33</v>
      </c>
      <c r="P40" s="3"/>
      <c r="Q40" s="3"/>
    </row>
    <row r="41" customFormat="1" spans="1:18">
      <c r="A41" s="1"/>
      <c r="B41" s="2"/>
      <c r="C41" s="2"/>
      <c r="D41" s="3" t="s">
        <v>8</v>
      </c>
      <c r="E41" s="3">
        <v>64</v>
      </c>
      <c r="F41">
        <f>2*PRODUCT(E41:E46)</f>
        <v>1207959552</v>
      </c>
      <c r="I41" s="2"/>
      <c r="J41" s="3" t="s">
        <v>8</v>
      </c>
      <c r="K41" s="3">
        <v>64</v>
      </c>
      <c r="L41">
        <f>2*PRODUCT(K41:K46)</f>
        <v>1207959552</v>
      </c>
      <c r="O41" s="2"/>
      <c r="P41" s="3" t="s">
        <v>8</v>
      </c>
      <c r="Q41" s="3">
        <v>64</v>
      </c>
      <c r="R41">
        <f>2*PRODUCT(Q41:Q46)</f>
        <v>1207959552</v>
      </c>
    </row>
    <row r="42" customFormat="1" spans="1:17">
      <c r="A42" s="1"/>
      <c r="B42" s="2"/>
      <c r="C42" s="2"/>
      <c r="D42" s="3" t="s">
        <v>9</v>
      </c>
      <c r="E42" s="3">
        <v>64</v>
      </c>
      <c r="I42" s="2"/>
      <c r="J42" s="3" t="s">
        <v>9</v>
      </c>
      <c r="K42" s="3">
        <v>64</v>
      </c>
      <c r="O42" s="2"/>
      <c r="P42" s="3" t="s">
        <v>9</v>
      </c>
      <c r="Q42" s="3">
        <v>64</v>
      </c>
    </row>
    <row r="43" customFormat="1" spans="1:17">
      <c r="A43" s="1"/>
      <c r="B43" s="2"/>
      <c r="C43" s="2"/>
      <c r="D43" s="3" t="s">
        <v>15</v>
      </c>
      <c r="E43" s="3">
        <v>128</v>
      </c>
      <c r="I43" s="2"/>
      <c r="J43" s="3" t="s">
        <v>15</v>
      </c>
      <c r="K43" s="3">
        <v>128</v>
      </c>
      <c r="O43" s="2"/>
      <c r="P43" s="3" t="s">
        <v>15</v>
      </c>
      <c r="Q43" s="3">
        <v>128</v>
      </c>
    </row>
    <row r="44" customFormat="1" spans="1:17">
      <c r="A44" s="1"/>
      <c r="B44" s="2"/>
      <c r="C44" s="2"/>
      <c r="D44" s="3" t="s">
        <v>34</v>
      </c>
      <c r="E44" s="3">
        <v>128</v>
      </c>
      <c r="I44" s="2"/>
      <c r="J44" s="3" t="s">
        <v>34</v>
      </c>
      <c r="K44" s="3">
        <v>128</v>
      </c>
      <c r="O44" s="2"/>
      <c r="P44" s="3" t="s">
        <v>34</v>
      </c>
      <c r="Q44" s="3">
        <v>128</v>
      </c>
    </row>
    <row r="45" customFormat="1" spans="1:17">
      <c r="A45" s="1"/>
      <c r="B45" s="2"/>
      <c r="C45" s="2"/>
      <c r="D45" s="3" t="s">
        <v>6</v>
      </c>
      <c r="E45" s="3">
        <v>3</v>
      </c>
      <c r="I45" s="2"/>
      <c r="J45" s="3" t="s">
        <v>6</v>
      </c>
      <c r="K45" s="3">
        <v>3</v>
      </c>
      <c r="O45" s="2"/>
      <c r="P45" s="3" t="s">
        <v>6</v>
      </c>
      <c r="Q45" s="3">
        <v>3</v>
      </c>
    </row>
    <row r="46" customFormat="1" spans="1:17">
      <c r="A46" s="1"/>
      <c r="B46" s="2"/>
      <c r="C46" s="2"/>
      <c r="D46" s="3" t="s">
        <v>7</v>
      </c>
      <c r="E46" s="3">
        <v>3</v>
      </c>
      <c r="I46" s="2"/>
      <c r="J46" s="3" t="s">
        <v>7</v>
      </c>
      <c r="K46" s="3">
        <v>3</v>
      </c>
      <c r="O46" s="2"/>
      <c r="P46" s="3" t="s">
        <v>7</v>
      </c>
      <c r="Q46" s="3">
        <v>3</v>
      </c>
    </row>
    <row r="47" customFormat="1" spans="1:17">
      <c r="A47" s="1"/>
      <c r="B47" s="2"/>
      <c r="C47" s="2" t="s">
        <v>16</v>
      </c>
      <c r="D47" s="3"/>
      <c r="E47" s="3"/>
      <c r="I47" s="2" t="s">
        <v>16</v>
      </c>
      <c r="J47" s="3"/>
      <c r="K47" s="3"/>
      <c r="O47" s="2" t="s">
        <v>16</v>
      </c>
      <c r="P47" s="3"/>
      <c r="Q47" s="3"/>
    </row>
    <row r="48" customFormat="1" spans="1:18">
      <c r="A48" s="1"/>
      <c r="B48" s="2"/>
      <c r="C48" s="2"/>
      <c r="D48" s="3" t="s">
        <v>11</v>
      </c>
      <c r="E48" s="3">
        <v>64</v>
      </c>
      <c r="F48">
        <f>PRODUCT(E48:E50)</f>
        <v>524288</v>
      </c>
      <c r="I48" s="2"/>
      <c r="J48" s="3" t="s">
        <v>11</v>
      </c>
      <c r="K48" s="3">
        <v>64</v>
      </c>
      <c r="L48">
        <f>PRODUCT(K48:K50)</f>
        <v>524288</v>
      </c>
      <c r="O48" s="2"/>
      <c r="P48" s="3" t="s">
        <v>11</v>
      </c>
      <c r="Q48" s="3">
        <v>64</v>
      </c>
      <c r="R48">
        <f>PRODUCT(Q48:Q50)</f>
        <v>524288</v>
      </c>
    </row>
    <row r="49" customFormat="1" spans="1:17">
      <c r="A49" s="1"/>
      <c r="B49" s="2"/>
      <c r="C49" s="2"/>
      <c r="D49" s="3" t="s">
        <v>12</v>
      </c>
      <c r="E49" s="3">
        <v>64</v>
      </c>
      <c r="I49" s="2"/>
      <c r="J49" s="3" t="s">
        <v>12</v>
      </c>
      <c r="K49" s="3">
        <v>64</v>
      </c>
      <c r="O49" s="2"/>
      <c r="P49" s="3" t="s">
        <v>12</v>
      </c>
      <c r="Q49" s="3">
        <v>64</v>
      </c>
    </row>
    <row r="50" customFormat="1" spans="1:17">
      <c r="A50" s="1"/>
      <c r="B50" s="2"/>
      <c r="C50" s="2"/>
      <c r="D50" s="3" t="s">
        <v>13</v>
      </c>
      <c r="E50" s="3">
        <v>128</v>
      </c>
      <c r="I50" s="2"/>
      <c r="J50" s="3" t="s">
        <v>13</v>
      </c>
      <c r="K50" s="3">
        <v>128</v>
      </c>
      <c r="O50" s="2"/>
      <c r="P50" s="3" t="s">
        <v>13</v>
      </c>
      <c r="Q50" s="3">
        <v>128</v>
      </c>
    </row>
    <row r="51" customFormat="1" spans="1:18">
      <c r="A51" s="1"/>
      <c r="B51" s="2"/>
      <c r="C51" s="3"/>
      <c r="D51" s="3"/>
      <c r="E51" s="3"/>
      <c r="F51" s="4">
        <f>SUM(F30,F37,F41,F48)</f>
        <v>1812987904</v>
      </c>
      <c r="I51" s="3"/>
      <c r="J51" s="3"/>
      <c r="K51" s="3"/>
      <c r="L51" s="4">
        <f>SUM(L30,L37,L41,L48)</f>
        <v>4832886784</v>
      </c>
      <c r="O51" s="3"/>
      <c r="P51" s="3"/>
      <c r="Q51" s="3"/>
      <c r="R51" s="4">
        <f>SUM(R30,R37,R41,R48)</f>
        <v>4832886784</v>
      </c>
    </row>
    <row r="52" customFormat="1" spans="1:1">
      <c r="A52" s="1"/>
    </row>
    <row r="53" customFormat="1" spans="1:1">
      <c r="A53" s="1"/>
    </row>
    <row r="54" customFormat="1" spans="1:11">
      <c r="A54" s="1"/>
      <c r="B54" s="2" t="s">
        <v>43</v>
      </c>
      <c r="C54" s="3"/>
      <c r="D54" s="3" t="s">
        <v>21</v>
      </c>
      <c r="E54" s="3"/>
      <c r="I54" s="3"/>
      <c r="J54" s="3" t="s">
        <v>21</v>
      </c>
      <c r="K54" s="3"/>
    </row>
    <row r="55" customFormat="1" spans="1:11">
      <c r="A55" s="1"/>
      <c r="B55" s="2"/>
      <c r="C55" s="2" t="s">
        <v>44</v>
      </c>
      <c r="D55" s="3"/>
      <c r="E55" s="3"/>
      <c r="I55" s="2" t="s">
        <v>44</v>
      </c>
      <c r="J55" s="3"/>
      <c r="K55" s="3"/>
    </row>
    <row r="56" customFormat="1" spans="1:12">
      <c r="A56" s="1"/>
      <c r="B56" s="2"/>
      <c r="C56" s="2"/>
      <c r="D56" s="3" t="s">
        <v>8</v>
      </c>
      <c r="E56" s="3">
        <v>32</v>
      </c>
      <c r="F56">
        <f>2*PRODUCT(E56:E61)</f>
        <v>603979776</v>
      </c>
      <c r="I56" s="2"/>
      <c r="J56" s="3" t="s">
        <v>8</v>
      </c>
      <c r="K56" s="3">
        <v>32</v>
      </c>
      <c r="L56">
        <f>2*PRODUCT(K56:K61)</f>
        <v>3708813312</v>
      </c>
    </row>
    <row r="57" customFormat="1" spans="1:11">
      <c r="A57" s="1"/>
      <c r="B57" s="2"/>
      <c r="C57" s="2"/>
      <c r="D57" s="3" t="s">
        <v>9</v>
      </c>
      <c r="E57" s="3">
        <v>32</v>
      </c>
      <c r="I57" s="2"/>
      <c r="J57" s="3" t="s">
        <v>9</v>
      </c>
      <c r="K57" s="3">
        <v>32</v>
      </c>
    </row>
    <row r="58" customFormat="1" spans="1:11">
      <c r="A58" s="1"/>
      <c r="B58" s="2"/>
      <c r="C58" s="2"/>
      <c r="D58" s="3" t="s">
        <v>15</v>
      </c>
      <c r="E58" s="3">
        <v>256</v>
      </c>
      <c r="I58" s="2"/>
      <c r="J58" s="3" t="s">
        <v>15</v>
      </c>
      <c r="K58" s="3">
        <v>256</v>
      </c>
    </row>
    <row r="59" customFormat="1" spans="1:11">
      <c r="A59" s="1"/>
      <c r="B59" s="2"/>
      <c r="C59" s="2"/>
      <c r="D59" s="3" t="s">
        <v>34</v>
      </c>
      <c r="E59" s="3">
        <v>128</v>
      </c>
      <c r="I59" s="2"/>
      <c r="J59" s="3" t="s">
        <v>34</v>
      </c>
      <c r="K59" s="5">
        <v>786</v>
      </c>
    </row>
    <row r="60" customFormat="1" spans="1:11">
      <c r="A60" s="1"/>
      <c r="B60" s="2"/>
      <c r="C60" s="2"/>
      <c r="D60" s="3" t="s">
        <v>6</v>
      </c>
      <c r="E60" s="3">
        <v>3</v>
      </c>
      <c r="I60" s="2"/>
      <c r="J60" s="3" t="s">
        <v>6</v>
      </c>
      <c r="K60" s="3">
        <v>3</v>
      </c>
    </row>
    <row r="61" customFormat="1" spans="1:11">
      <c r="A61" s="1"/>
      <c r="B61" s="2"/>
      <c r="C61" s="2"/>
      <c r="D61" s="3" t="s">
        <v>7</v>
      </c>
      <c r="E61" s="3">
        <v>3</v>
      </c>
      <c r="I61" s="2"/>
      <c r="J61" s="3" t="s">
        <v>7</v>
      </c>
      <c r="K61" s="3">
        <v>3</v>
      </c>
    </row>
    <row r="62" customFormat="1" spans="1:11">
      <c r="A62" s="1"/>
      <c r="B62" s="2"/>
      <c r="C62" s="2" t="s">
        <v>16</v>
      </c>
      <c r="D62" s="3"/>
      <c r="E62" s="3"/>
      <c r="I62" s="2" t="s">
        <v>16</v>
      </c>
      <c r="J62" s="3"/>
      <c r="K62" s="3"/>
    </row>
    <row r="63" customFormat="1" spans="1:12">
      <c r="A63" s="1"/>
      <c r="B63" s="2"/>
      <c r="C63" s="2"/>
      <c r="D63" s="3" t="s">
        <v>11</v>
      </c>
      <c r="E63" s="3">
        <v>32</v>
      </c>
      <c r="F63">
        <f>PRODUCT(E63:E65)</f>
        <v>262144</v>
      </c>
      <c r="I63" s="2"/>
      <c r="J63" s="3" t="s">
        <v>11</v>
      </c>
      <c r="K63" s="3">
        <v>32</v>
      </c>
      <c r="L63">
        <f>PRODUCT(K63:K65)</f>
        <v>262144</v>
      </c>
    </row>
    <row r="64" customFormat="1" spans="1:11">
      <c r="A64" s="1"/>
      <c r="B64" s="2"/>
      <c r="C64" s="2"/>
      <c r="D64" s="3" t="s">
        <v>12</v>
      </c>
      <c r="E64" s="3">
        <v>32</v>
      </c>
      <c r="I64" s="2"/>
      <c r="J64" s="3" t="s">
        <v>12</v>
      </c>
      <c r="K64" s="3">
        <v>32</v>
      </c>
    </row>
    <row r="65" customFormat="1" spans="1:11">
      <c r="A65" s="1"/>
      <c r="B65" s="2"/>
      <c r="C65" s="2"/>
      <c r="D65" s="3" t="s">
        <v>13</v>
      </c>
      <c r="E65" s="3">
        <v>256</v>
      </c>
      <c r="I65" s="2"/>
      <c r="J65" s="3" t="s">
        <v>13</v>
      </c>
      <c r="K65" s="3">
        <v>256</v>
      </c>
    </row>
    <row r="66" customFormat="1" spans="1:11">
      <c r="A66" s="1"/>
      <c r="B66" s="2"/>
      <c r="C66" s="2" t="s">
        <v>44</v>
      </c>
      <c r="D66" s="3"/>
      <c r="E66" s="3"/>
      <c r="I66" s="2" t="s">
        <v>44</v>
      </c>
      <c r="J66" s="3"/>
      <c r="K66" s="3"/>
    </row>
    <row r="67" customFormat="1" spans="1:12">
      <c r="A67" s="1"/>
      <c r="B67" s="2"/>
      <c r="C67" s="2"/>
      <c r="D67" s="3" t="s">
        <v>8</v>
      </c>
      <c r="E67" s="3">
        <v>32</v>
      </c>
      <c r="F67">
        <f>2*PRODUCT(E67:E72)</f>
        <v>1207959552</v>
      </c>
      <c r="I67" s="2"/>
      <c r="J67" s="3" t="s">
        <v>8</v>
      </c>
      <c r="K67" s="3">
        <v>32</v>
      </c>
      <c r="L67">
        <f>2*PRODUCT(K67:K72)</f>
        <v>1207959552</v>
      </c>
    </row>
    <row r="68" customFormat="1" spans="1:11">
      <c r="A68" s="1"/>
      <c r="B68" s="2"/>
      <c r="C68" s="2"/>
      <c r="D68" s="3" t="s">
        <v>9</v>
      </c>
      <c r="E68" s="3">
        <v>32</v>
      </c>
      <c r="I68" s="2"/>
      <c r="J68" s="3" t="s">
        <v>9</v>
      </c>
      <c r="K68" s="3">
        <v>32</v>
      </c>
    </row>
    <row r="69" customFormat="1" spans="1:11">
      <c r="A69" s="1"/>
      <c r="B69" s="2"/>
      <c r="C69" s="2"/>
      <c r="D69" s="3" t="s">
        <v>15</v>
      </c>
      <c r="E69" s="3">
        <v>256</v>
      </c>
      <c r="I69" s="2"/>
      <c r="J69" s="3" t="s">
        <v>15</v>
      </c>
      <c r="K69" s="3">
        <v>256</v>
      </c>
    </row>
    <row r="70" customFormat="1" spans="1:11">
      <c r="A70" s="1"/>
      <c r="B70" s="2"/>
      <c r="C70" s="2"/>
      <c r="D70" s="3" t="s">
        <v>34</v>
      </c>
      <c r="E70" s="3">
        <v>256</v>
      </c>
      <c r="I70" s="2"/>
      <c r="J70" s="3" t="s">
        <v>34</v>
      </c>
      <c r="K70" s="3">
        <v>256</v>
      </c>
    </row>
    <row r="71" customFormat="1" spans="1:11">
      <c r="A71" s="1"/>
      <c r="B71" s="2"/>
      <c r="C71" s="2"/>
      <c r="D71" s="3" t="s">
        <v>6</v>
      </c>
      <c r="E71" s="3">
        <v>3</v>
      </c>
      <c r="I71" s="2"/>
      <c r="J71" s="3" t="s">
        <v>6</v>
      </c>
      <c r="K71" s="3">
        <v>3</v>
      </c>
    </row>
    <row r="72" customFormat="1" spans="1:11">
      <c r="A72" s="1"/>
      <c r="B72" s="2"/>
      <c r="C72" s="2"/>
      <c r="D72" s="3" t="s">
        <v>7</v>
      </c>
      <c r="E72" s="3">
        <v>3</v>
      </c>
      <c r="I72" s="2"/>
      <c r="J72" s="3" t="s">
        <v>7</v>
      </c>
      <c r="K72" s="3">
        <v>3</v>
      </c>
    </row>
    <row r="73" customFormat="1" spans="1:11">
      <c r="A73" s="1"/>
      <c r="B73" s="2"/>
      <c r="C73" s="2" t="s">
        <v>16</v>
      </c>
      <c r="D73" s="3"/>
      <c r="E73" s="3"/>
      <c r="I73" s="2" t="s">
        <v>16</v>
      </c>
      <c r="J73" s="3"/>
      <c r="K73" s="3"/>
    </row>
    <row r="74" customFormat="1" spans="1:12">
      <c r="A74" s="1"/>
      <c r="B74" s="2"/>
      <c r="C74" s="2"/>
      <c r="D74" s="3" t="s">
        <v>11</v>
      </c>
      <c r="E74" s="3">
        <v>32</v>
      </c>
      <c r="F74">
        <f>PRODUCT(E74:E76)</f>
        <v>262144</v>
      </c>
      <c r="I74" s="2"/>
      <c r="J74" s="3" t="s">
        <v>11</v>
      </c>
      <c r="K74" s="3">
        <v>32</v>
      </c>
      <c r="L74">
        <f>PRODUCT(K74:K76)</f>
        <v>262144</v>
      </c>
    </row>
    <row r="75" customFormat="1" spans="1:11">
      <c r="A75" s="1"/>
      <c r="B75" s="2"/>
      <c r="C75" s="2"/>
      <c r="D75" s="3" t="s">
        <v>12</v>
      </c>
      <c r="E75" s="3">
        <v>32</v>
      </c>
      <c r="I75" s="2"/>
      <c r="J75" s="3" t="s">
        <v>12</v>
      </c>
      <c r="K75" s="3">
        <v>32</v>
      </c>
    </row>
    <row r="76" customFormat="1" spans="1:11">
      <c r="A76" s="1"/>
      <c r="B76" s="2"/>
      <c r="C76" s="2"/>
      <c r="D76" s="3" t="s">
        <v>13</v>
      </c>
      <c r="E76" s="3">
        <v>256</v>
      </c>
      <c r="I76" s="2"/>
      <c r="J76" s="3" t="s">
        <v>13</v>
      </c>
      <c r="K76" s="3">
        <v>256</v>
      </c>
    </row>
    <row r="77" customFormat="1" spans="1:12">
      <c r="A77" s="1"/>
      <c r="B77" s="2"/>
      <c r="C77" s="3"/>
      <c r="D77" s="3"/>
      <c r="E77" s="3"/>
      <c r="F77" s="4">
        <f>SUM(F56,F63,F67,F74)</f>
        <v>1812463616</v>
      </c>
      <c r="I77" s="3"/>
      <c r="J77" s="3"/>
      <c r="K77" s="3"/>
      <c r="L77" s="4">
        <f>SUM(L56,L63,L67,L74)</f>
        <v>4917297152</v>
      </c>
    </row>
    <row r="78" customFormat="1" spans="1:1">
      <c r="A78" s="1"/>
    </row>
    <row r="79" customFormat="1" spans="1:1">
      <c r="A79" s="1"/>
    </row>
    <row r="80" customFormat="1" spans="1:5">
      <c r="A80" s="1"/>
      <c r="B80" s="2" t="s">
        <v>45</v>
      </c>
      <c r="C80" s="3"/>
      <c r="D80" s="3" t="s">
        <v>24</v>
      </c>
      <c r="E80" s="3"/>
    </row>
    <row r="81" customFormat="1" spans="1:5">
      <c r="A81" s="1"/>
      <c r="B81" s="2"/>
      <c r="C81" s="2" t="s">
        <v>46</v>
      </c>
      <c r="D81" s="3"/>
      <c r="E81" s="3"/>
    </row>
    <row r="82" customFormat="1" spans="1:6">
      <c r="A82" s="1"/>
      <c r="B82" s="2"/>
      <c r="C82" s="2"/>
      <c r="D82" s="3" t="s">
        <v>8</v>
      </c>
      <c r="E82" s="3">
        <v>16</v>
      </c>
      <c r="F82">
        <f>2*PRODUCT(E82:E87)</f>
        <v>603979776</v>
      </c>
    </row>
    <row r="83" customFormat="1" spans="1:5">
      <c r="A83" s="1"/>
      <c r="B83" s="2"/>
      <c r="C83" s="2"/>
      <c r="D83" s="3" t="s">
        <v>9</v>
      </c>
      <c r="E83" s="3">
        <v>16</v>
      </c>
    </row>
    <row r="84" customFormat="1" spans="1:5">
      <c r="A84" s="1"/>
      <c r="B84" s="2"/>
      <c r="C84" s="2"/>
      <c r="D84" s="3" t="s">
        <v>15</v>
      </c>
      <c r="E84" s="3">
        <v>512</v>
      </c>
    </row>
    <row r="85" customFormat="1" spans="1:5">
      <c r="A85" s="1"/>
      <c r="B85" s="2"/>
      <c r="C85" s="2"/>
      <c r="D85" s="3" t="s">
        <v>34</v>
      </c>
      <c r="E85" s="3">
        <v>256</v>
      </c>
    </row>
    <row r="86" customFormat="1" spans="1:5">
      <c r="A86" s="1"/>
      <c r="B86" s="2"/>
      <c r="C86" s="2"/>
      <c r="D86" s="3" t="s">
        <v>6</v>
      </c>
      <c r="E86" s="3">
        <v>3</v>
      </c>
    </row>
    <row r="87" customFormat="1" spans="1:5">
      <c r="A87" s="1"/>
      <c r="B87" s="2"/>
      <c r="C87" s="2"/>
      <c r="D87" s="3" t="s">
        <v>7</v>
      </c>
      <c r="E87" s="3">
        <v>3</v>
      </c>
    </row>
    <row r="88" customFormat="1" spans="1:5">
      <c r="A88" s="1"/>
      <c r="B88" s="2"/>
      <c r="C88" s="2" t="s">
        <v>16</v>
      </c>
      <c r="D88" s="3"/>
      <c r="E88" s="3"/>
    </row>
    <row r="89" customFormat="1" spans="1:6">
      <c r="A89" s="1"/>
      <c r="B89" s="2"/>
      <c r="C89" s="2"/>
      <c r="D89" s="3" t="s">
        <v>11</v>
      </c>
      <c r="E89" s="3">
        <v>16</v>
      </c>
      <c r="F89">
        <f>PRODUCT(E89:E91)</f>
        <v>131072</v>
      </c>
    </row>
    <row r="90" customFormat="1" spans="1:5">
      <c r="A90" s="1"/>
      <c r="B90" s="2"/>
      <c r="C90" s="2"/>
      <c r="D90" s="3" t="s">
        <v>12</v>
      </c>
      <c r="E90" s="3">
        <v>16</v>
      </c>
    </row>
    <row r="91" customFormat="1" spans="1:5">
      <c r="A91" s="1"/>
      <c r="B91" s="2"/>
      <c r="C91" s="2"/>
      <c r="D91" s="3" t="s">
        <v>13</v>
      </c>
      <c r="E91" s="3">
        <v>512</v>
      </c>
    </row>
    <row r="92" customFormat="1" spans="1:5">
      <c r="A92" s="1"/>
      <c r="B92" s="2"/>
      <c r="C92" s="2" t="s">
        <v>46</v>
      </c>
      <c r="D92" s="3"/>
      <c r="E92" s="3"/>
    </row>
    <row r="93" customFormat="1" spans="1:6">
      <c r="A93" s="1"/>
      <c r="B93" s="2"/>
      <c r="C93" s="2"/>
      <c r="D93" s="3" t="s">
        <v>8</v>
      </c>
      <c r="E93" s="3">
        <v>16</v>
      </c>
      <c r="F93">
        <f>2*PRODUCT(E93:E98)</f>
        <v>1207959552</v>
      </c>
    </row>
    <row r="94" customFormat="1" spans="1:5">
      <c r="A94" s="1"/>
      <c r="B94" s="2"/>
      <c r="C94" s="2"/>
      <c r="D94" s="3" t="s">
        <v>9</v>
      </c>
      <c r="E94" s="3">
        <v>16</v>
      </c>
    </row>
    <row r="95" customFormat="1" spans="1:5">
      <c r="A95" s="1"/>
      <c r="B95" s="2"/>
      <c r="C95" s="2"/>
      <c r="D95" s="3" t="s">
        <v>15</v>
      </c>
      <c r="E95" s="3">
        <v>512</v>
      </c>
    </row>
    <row r="96" customFormat="1" spans="1:5">
      <c r="A96" s="1"/>
      <c r="B96" s="2"/>
      <c r="C96" s="2"/>
      <c r="D96" s="3" t="s">
        <v>34</v>
      </c>
      <c r="E96" s="3">
        <v>512</v>
      </c>
    </row>
    <row r="97" customFormat="1" spans="1:5">
      <c r="A97" s="1"/>
      <c r="B97" s="2"/>
      <c r="C97" s="2"/>
      <c r="D97" s="3" t="s">
        <v>6</v>
      </c>
      <c r="E97" s="3">
        <v>3</v>
      </c>
    </row>
    <row r="98" customFormat="1" spans="1:5">
      <c r="A98" s="1"/>
      <c r="B98" s="2"/>
      <c r="C98" s="2"/>
      <c r="D98" s="3" t="s">
        <v>7</v>
      </c>
      <c r="E98" s="3">
        <v>3</v>
      </c>
    </row>
    <row r="99" customFormat="1" spans="1:5">
      <c r="A99" s="1"/>
      <c r="B99" s="2"/>
      <c r="C99" s="2" t="s">
        <v>16</v>
      </c>
      <c r="D99" s="3"/>
      <c r="E99" s="3"/>
    </row>
    <row r="100" customFormat="1" spans="1:6">
      <c r="A100" s="1"/>
      <c r="B100" s="2"/>
      <c r="C100" s="2"/>
      <c r="D100" s="3" t="s">
        <v>11</v>
      </c>
      <c r="E100" s="3">
        <v>16</v>
      </c>
      <c r="F100">
        <f>PRODUCT(E100:E102)</f>
        <v>131072</v>
      </c>
    </row>
    <row r="101" customFormat="1" spans="1:5">
      <c r="A101" s="1"/>
      <c r="B101" s="2"/>
      <c r="C101" s="2"/>
      <c r="D101" s="3" t="s">
        <v>12</v>
      </c>
      <c r="E101" s="3">
        <v>16</v>
      </c>
    </row>
    <row r="102" customFormat="1" spans="1:5">
      <c r="A102" s="1"/>
      <c r="B102" s="2"/>
      <c r="C102" s="2"/>
      <c r="D102" s="3" t="s">
        <v>13</v>
      </c>
      <c r="E102" s="3">
        <v>512</v>
      </c>
    </row>
    <row r="103" customFormat="1" spans="1:6">
      <c r="A103" s="1"/>
      <c r="B103" s="2"/>
      <c r="C103" s="3"/>
      <c r="D103" s="3"/>
      <c r="E103" s="3"/>
      <c r="F103" s="4">
        <f>SUM(F82,F89,F93,F100)</f>
        <v>1812201472</v>
      </c>
    </row>
    <row r="104" customFormat="1" spans="1:1">
      <c r="A104" s="1"/>
    </row>
    <row r="105" customFormat="1" spans="1:1">
      <c r="A105" s="1"/>
    </row>
    <row r="106" customFormat="1" spans="1:11">
      <c r="A106" s="1"/>
      <c r="B106" s="2" t="s">
        <v>47</v>
      </c>
      <c r="C106" s="3"/>
      <c r="D106" s="3" t="s">
        <v>27</v>
      </c>
      <c r="E106" s="3"/>
      <c r="I106" s="3"/>
      <c r="J106" s="3" t="s">
        <v>24</v>
      </c>
      <c r="K106" s="3"/>
    </row>
    <row r="107" customFormat="1" spans="1:11">
      <c r="A107" s="1"/>
      <c r="B107" s="2"/>
      <c r="C107" s="2" t="s">
        <v>48</v>
      </c>
      <c r="D107" s="3"/>
      <c r="E107" s="3"/>
      <c r="I107" s="2" t="s">
        <v>46</v>
      </c>
      <c r="J107" s="3"/>
      <c r="K107" s="3"/>
    </row>
    <row r="108" customFormat="1" spans="1:12">
      <c r="A108" s="1"/>
      <c r="B108" s="2"/>
      <c r="C108" s="2"/>
      <c r="D108" s="3" t="s">
        <v>8</v>
      </c>
      <c r="E108" s="3">
        <v>8</v>
      </c>
      <c r="F108">
        <f>2*PRODUCT(E108:E113)</f>
        <v>603979776</v>
      </c>
      <c r="I108" s="2"/>
      <c r="J108" s="3" t="s">
        <v>8</v>
      </c>
      <c r="K108" s="3">
        <v>16</v>
      </c>
      <c r="L108">
        <f>2*PRODUCT(K108:K113)</f>
        <v>3623878656</v>
      </c>
    </row>
    <row r="109" customFormat="1" spans="1:11">
      <c r="A109" s="1"/>
      <c r="B109" s="2"/>
      <c r="C109" s="2"/>
      <c r="D109" s="3" t="s">
        <v>9</v>
      </c>
      <c r="E109" s="3">
        <v>8</v>
      </c>
      <c r="I109" s="2"/>
      <c r="J109" s="3" t="s">
        <v>9</v>
      </c>
      <c r="K109" s="3">
        <v>16</v>
      </c>
    </row>
    <row r="110" customFormat="1" spans="1:11">
      <c r="A110" s="1"/>
      <c r="B110" s="2"/>
      <c r="C110" s="2"/>
      <c r="D110" s="3" t="s">
        <v>15</v>
      </c>
      <c r="E110" s="3">
        <v>1024</v>
      </c>
      <c r="I110" s="2"/>
      <c r="J110" s="3" t="s">
        <v>15</v>
      </c>
      <c r="K110" s="3">
        <v>512</v>
      </c>
    </row>
    <row r="111" customFormat="1" spans="1:11">
      <c r="A111" s="1"/>
      <c r="B111" s="2"/>
      <c r="C111" s="2"/>
      <c r="D111" s="3" t="s">
        <v>34</v>
      </c>
      <c r="E111" s="3">
        <v>512</v>
      </c>
      <c r="I111" s="2"/>
      <c r="J111" s="3" t="s">
        <v>34</v>
      </c>
      <c r="K111" s="6">
        <v>1536</v>
      </c>
    </row>
    <row r="112" customFormat="1" spans="1:11">
      <c r="A112" s="1"/>
      <c r="B112" s="2"/>
      <c r="C112" s="2"/>
      <c r="D112" s="3" t="s">
        <v>6</v>
      </c>
      <c r="E112" s="3">
        <v>3</v>
      </c>
      <c r="I112" s="2"/>
      <c r="J112" s="3" t="s">
        <v>6</v>
      </c>
      <c r="K112" s="3">
        <v>3</v>
      </c>
    </row>
    <row r="113" customFormat="1" spans="1:11">
      <c r="A113" s="1"/>
      <c r="B113" s="2"/>
      <c r="C113" s="2"/>
      <c r="D113" s="3" t="s">
        <v>7</v>
      </c>
      <c r="E113" s="3">
        <v>3</v>
      </c>
      <c r="I113" s="2"/>
      <c r="J113" s="3" t="s">
        <v>7</v>
      </c>
      <c r="K113" s="3">
        <v>3</v>
      </c>
    </row>
    <row r="114" customFormat="1" spans="1:11">
      <c r="A114" s="1"/>
      <c r="B114" s="2"/>
      <c r="C114" s="2" t="s">
        <v>16</v>
      </c>
      <c r="D114" s="3"/>
      <c r="E114" s="3"/>
      <c r="I114" s="2" t="s">
        <v>16</v>
      </c>
      <c r="J114" s="3"/>
      <c r="K114" s="3"/>
    </row>
    <row r="115" customFormat="1" spans="1:12">
      <c r="A115" s="1"/>
      <c r="B115" s="2"/>
      <c r="C115" s="2"/>
      <c r="D115" s="3" t="s">
        <v>11</v>
      </c>
      <c r="E115" s="3">
        <v>8</v>
      </c>
      <c r="F115">
        <f>PRODUCT(E115:E117)</f>
        <v>65536</v>
      </c>
      <c r="I115" s="2"/>
      <c r="J115" s="3" t="s">
        <v>11</v>
      </c>
      <c r="K115" s="3">
        <v>16</v>
      </c>
      <c r="L115">
        <f>PRODUCT(K115:K117)</f>
        <v>131072</v>
      </c>
    </row>
    <row r="116" customFormat="1" spans="1:11">
      <c r="A116" s="1"/>
      <c r="B116" s="2"/>
      <c r="C116" s="2"/>
      <c r="D116" s="3" t="s">
        <v>12</v>
      </c>
      <c r="E116" s="3">
        <v>8</v>
      </c>
      <c r="I116" s="2"/>
      <c r="J116" s="3" t="s">
        <v>12</v>
      </c>
      <c r="K116" s="3">
        <v>16</v>
      </c>
    </row>
    <row r="117" customFormat="1" spans="1:11">
      <c r="A117" s="1"/>
      <c r="B117" s="2"/>
      <c r="C117" s="2"/>
      <c r="D117" s="3" t="s">
        <v>13</v>
      </c>
      <c r="E117" s="3">
        <v>1024</v>
      </c>
      <c r="I117" s="2"/>
      <c r="J117" s="3" t="s">
        <v>13</v>
      </c>
      <c r="K117" s="3">
        <v>512</v>
      </c>
    </row>
    <row r="118" customFormat="1" spans="1:11">
      <c r="A118" s="1"/>
      <c r="B118" s="2"/>
      <c r="C118" s="2" t="s">
        <v>48</v>
      </c>
      <c r="D118" s="3"/>
      <c r="E118" s="3"/>
      <c r="I118" s="2" t="s">
        <v>46</v>
      </c>
      <c r="J118" s="3"/>
      <c r="K118" s="3"/>
    </row>
    <row r="119" customFormat="1" spans="1:12">
      <c r="A119" s="1"/>
      <c r="B119" s="2"/>
      <c r="C119" s="2"/>
      <c r="D119" s="3" t="s">
        <v>8</v>
      </c>
      <c r="E119" s="3">
        <v>8</v>
      </c>
      <c r="F119">
        <f>2*PRODUCT(E119:E124)</f>
        <v>1207959552</v>
      </c>
      <c r="I119" s="2"/>
      <c r="J119" s="3" t="s">
        <v>8</v>
      </c>
      <c r="K119" s="3">
        <v>16</v>
      </c>
      <c r="L119">
        <f>2*PRODUCT(K119:K124)</f>
        <v>1207959552</v>
      </c>
    </row>
    <row r="120" customFormat="1" spans="1:11">
      <c r="A120" s="1"/>
      <c r="B120" s="2"/>
      <c r="C120" s="2"/>
      <c r="D120" s="3" t="s">
        <v>9</v>
      </c>
      <c r="E120" s="3">
        <v>8</v>
      </c>
      <c r="I120" s="2"/>
      <c r="J120" s="3" t="s">
        <v>9</v>
      </c>
      <c r="K120" s="3">
        <v>16</v>
      </c>
    </row>
    <row r="121" customFormat="1" spans="1:11">
      <c r="A121" s="1"/>
      <c r="B121" s="2"/>
      <c r="C121" s="2"/>
      <c r="D121" s="3" t="s">
        <v>15</v>
      </c>
      <c r="E121" s="3">
        <v>1024</v>
      </c>
      <c r="I121" s="2"/>
      <c r="J121" s="3" t="s">
        <v>15</v>
      </c>
      <c r="K121" s="3">
        <v>512</v>
      </c>
    </row>
    <row r="122" customFormat="1" spans="1:11">
      <c r="A122" s="1"/>
      <c r="B122" s="2"/>
      <c r="C122" s="2"/>
      <c r="D122" s="3" t="s">
        <v>34</v>
      </c>
      <c r="E122" s="3">
        <v>1024</v>
      </c>
      <c r="I122" s="2"/>
      <c r="J122" s="3" t="s">
        <v>34</v>
      </c>
      <c r="K122" s="3">
        <v>512</v>
      </c>
    </row>
    <row r="123" customFormat="1" spans="1:11">
      <c r="A123" s="1"/>
      <c r="B123" s="2"/>
      <c r="C123" s="2"/>
      <c r="D123" s="3" t="s">
        <v>6</v>
      </c>
      <c r="E123" s="3">
        <v>3</v>
      </c>
      <c r="I123" s="2"/>
      <c r="J123" s="3" t="s">
        <v>6</v>
      </c>
      <c r="K123" s="3">
        <v>3</v>
      </c>
    </row>
    <row r="124" customFormat="1" spans="1:11">
      <c r="A124" s="1"/>
      <c r="B124" s="2"/>
      <c r="C124" s="2"/>
      <c r="D124" s="3" t="s">
        <v>7</v>
      </c>
      <c r="E124" s="3">
        <v>3</v>
      </c>
      <c r="I124" s="2"/>
      <c r="J124" s="3" t="s">
        <v>7</v>
      </c>
      <c r="K124" s="3">
        <v>3</v>
      </c>
    </row>
    <row r="125" customFormat="1" spans="1:11">
      <c r="A125" s="1"/>
      <c r="B125" s="2"/>
      <c r="C125" s="2" t="s">
        <v>16</v>
      </c>
      <c r="D125" s="3"/>
      <c r="E125" s="3"/>
      <c r="I125" s="2" t="s">
        <v>16</v>
      </c>
      <c r="J125" s="3"/>
      <c r="K125" s="3"/>
    </row>
    <row r="126" customFormat="1" spans="1:12">
      <c r="A126" s="1"/>
      <c r="B126" s="2"/>
      <c r="C126" s="2"/>
      <c r="D126" s="3" t="s">
        <v>11</v>
      </c>
      <c r="E126" s="3">
        <v>8</v>
      </c>
      <c r="F126">
        <f>PRODUCT(E126:E128)</f>
        <v>65536</v>
      </c>
      <c r="I126" s="2"/>
      <c r="J126" s="3" t="s">
        <v>11</v>
      </c>
      <c r="K126" s="3">
        <v>16</v>
      </c>
      <c r="L126">
        <f>PRODUCT(K126:K128)</f>
        <v>131072</v>
      </c>
    </row>
    <row r="127" customFormat="1" spans="1:11">
      <c r="A127" s="1"/>
      <c r="B127" s="2"/>
      <c r="C127" s="2"/>
      <c r="D127" s="3" t="s">
        <v>12</v>
      </c>
      <c r="E127" s="3">
        <v>8</v>
      </c>
      <c r="I127" s="2"/>
      <c r="J127" s="3" t="s">
        <v>12</v>
      </c>
      <c r="K127" s="3">
        <v>16</v>
      </c>
    </row>
    <row r="128" customFormat="1" spans="1:11">
      <c r="A128" s="1"/>
      <c r="B128" s="2"/>
      <c r="C128" s="2"/>
      <c r="D128" s="3" t="s">
        <v>13</v>
      </c>
      <c r="E128" s="3">
        <v>1024</v>
      </c>
      <c r="I128" s="2"/>
      <c r="J128" s="3" t="s">
        <v>13</v>
      </c>
      <c r="K128" s="3">
        <v>512</v>
      </c>
    </row>
    <row r="129" customFormat="1" spans="1:12">
      <c r="A129" s="1"/>
      <c r="B129" s="2"/>
      <c r="C129" s="3"/>
      <c r="D129" s="3"/>
      <c r="E129" s="3"/>
      <c r="F129" s="4">
        <f>SUM(F108,F115,F119,F126)</f>
        <v>1812070400</v>
      </c>
      <c r="I129" s="3"/>
      <c r="J129" s="3"/>
      <c r="K129" s="3"/>
      <c r="L129" s="4">
        <f>SUM(L108,L115,L119,L126)</f>
        <v>4832100352</v>
      </c>
    </row>
    <row r="130" customFormat="1"/>
    <row r="131" customFormat="1"/>
    <row r="132" customFormat="1"/>
    <row r="133" customFormat="1"/>
    <row r="134" customFormat="1" spans="1:5">
      <c r="A134" s="7" t="s">
        <v>49</v>
      </c>
      <c r="B134" s="2" t="s">
        <v>45</v>
      </c>
      <c r="C134" s="3"/>
      <c r="D134" s="3" t="s">
        <v>24</v>
      </c>
      <c r="E134" s="3"/>
    </row>
    <row r="135" customFormat="1" ht="21" customHeight="1" spans="1:5">
      <c r="A135" s="7"/>
      <c r="B135" s="2"/>
      <c r="C135" s="2" t="s">
        <v>46</v>
      </c>
      <c r="D135" s="3"/>
      <c r="E135" s="3"/>
    </row>
    <row r="136" customFormat="1" spans="1:6">
      <c r="A136" s="7"/>
      <c r="B136" s="2"/>
      <c r="C136" s="2"/>
      <c r="D136" s="3" t="s">
        <v>8</v>
      </c>
      <c r="E136" s="3">
        <v>16</v>
      </c>
      <c r="F136">
        <f>2*PRODUCT(E136:E141)</f>
        <v>2415919104</v>
      </c>
    </row>
    <row r="137" customFormat="1" spans="1:5">
      <c r="A137" s="7"/>
      <c r="B137" s="2"/>
      <c r="C137" s="2"/>
      <c r="D137" s="3" t="s">
        <v>9</v>
      </c>
      <c r="E137" s="3">
        <v>16</v>
      </c>
    </row>
    <row r="138" customFormat="1" spans="1:5">
      <c r="A138" s="7"/>
      <c r="B138" s="2"/>
      <c r="C138" s="2"/>
      <c r="D138" s="3" t="s">
        <v>15</v>
      </c>
      <c r="E138" s="3">
        <v>512</v>
      </c>
    </row>
    <row r="139" customFormat="1" spans="1:5">
      <c r="A139" s="7"/>
      <c r="B139" s="2"/>
      <c r="C139" s="2"/>
      <c r="D139" s="3" t="s">
        <v>34</v>
      </c>
      <c r="E139" s="5">
        <v>1024</v>
      </c>
    </row>
    <row r="140" customFormat="1" spans="1:5">
      <c r="A140" s="7"/>
      <c r="B140" s="2"/>
      <c r="C140" s="2"/>
      <c r="D140" s="3" t="s">
        <v>6</v>
      </c>
      <c r="E140" s="3">
        <v>3</v>
      </c>
    </row>
    <row r="141" customFormat="1" spans="1:5">
      <c r="A141" s="7"/>
      <c r="B141" s="2"/>
      <c r="C141" s="2"/>
      <c r="D141" s="3" t="s">
        <v>7</v>
      </c>
      <c r="E141" s="3">
        <v>3</v>
      </c>
    </row>
    <row r="142" customFormat="1" spans="1:5">
      <c r="A142" s="7"/>
      <c r="B142" s="2"/>
      <c r="C142" s="2" t="s">
        <v>16</v>
      </c>
      <c r="D142" s="3"/>
      <c r="E142" s="3"/>
    </row>
    <row r="143" customFormat="1" spans="1:6">
      <c r="A143" s="7"/>
      <c r="B143" s="2"/>
      <c r="C143" s="2"/>
      <c r="D143" s="3" t="s">
        <v>11</v>
      </c>
      <c r="E143" s="3">
        <v>16</v>
      </c>
      <c r="F143">
        <f>PRODUCT(E143:E145)</f>
        <v>131072</v>
      </c>
    </row>
    <row r="144" customFormat="1" spans="1:5">
      <c r="A144" s="7"/>
      <c r="B144" s="2"/>
      <c r="C144" s="2"/>
      <c r="D144" s="3" t="s">
        <v>12</v>
      </c>
      <c r="E144" s="3">
        <v>16</v>
      </c>
    </row>
    <row r="145" customFormat="1" spans="1:5">
      <c r="A145" s="7"/>
      <c r="B145" s="2"/>
      <c r="C145" s="2"/>
      <c r="D145" s="3" t="s">
        <v>13</v>
      </c>
      <c r="E145" s="3">
        <v>512</v>
      </c>
    </row>
    <row r="146" customFormat="1" spans="1:5">
      <c r="A146" s="7"/>
      <c r="B146" s="2"/>
      <c r="C146" s="2" t="s">
        <v>46</v>
      </c>
      <c r="D146" s="3"/>
      <c r="E146" s="3"/>
    </row>
    <row r="147" customFormat="1" spans="1:6">
      <c r="A147" s="7"/>
      <c r="B147" s="2"/>
      <c r="C147" s="2"/>
      <c r="D147" s="3" t="s">
        <v>8</v>
      </c>
      <c r="E147" s="3">
        <v>16</v>
      </c>
      <c r="F147">
        <f>2*PRODUCT(E147:E152)</f>
        <v>1207959552</v>
      </c>
    </row>
    <row r="148" customFormat="1" spans="1:5">
      <c r="A148" s="7"/>
      <c r="B148" s="2"/>
      <c r="C148" s="2"/>
      <c r="D148" s="3" t="s">
        <v>9</v>
      </c>
      <c r="E148" s="3">
        <v>16</v>
      </c>
    </row>
    <row r="149" customFormat="1" spans="1:5">
      <c r="A149" s="7"/>
      <c r="B149" s="2"/>
      <c r="C149" s="2"/>
      <c r="D149" s="3" t="s">
        <v>15</v>
      </c>
      <c r="E149" s="3">
        <v>512</v>
      </c>
    </row>
    <row r="150" customFormat="1" spans="1:5">
      <c r="A150" s="7"/>
      <c r="B150" s="2"/>
      <c r="C150" s="2"/>
      <c r="D150" s="3" t="s">
        <v>34</v>
      </c>
      <c r="E150" s="3">
        <v>512</v>
      </c>
    </row>
    <row r="151" customFormat="1" spans="1:5">
      <c r="A151" s="7"/>
      <c r="B151" s="2"/>
      <c r="C151" s="2"/>
      <c r="D151" s="3" t="s">
        <v>6</v>
      </c>
      <c r="E151" s="3">
        <v>3</v>
      </c>
    </row>
    <row r="152" customFormat="1" spans="1:5">
      <c r="A152" s="7"/>
      <c r="B152" s="2"/>
      <c r="C152" s="2"/>
      <c r="D152" s="3" t="s">
        <v>7</v>
      </c>
      <c r="E152" s="3">
        <v>3</v>
      </c>
    </row>
    <row r="153" customFormat="1" spans="1:5">
      <c r="A153" s="7"/>
      <c r="B153" s="2"/>
      <c r="C153" s="2" t="s">
        <v>16</v>
      </c>
      <c r="D153" s="3"/>
      <c r="E153" s="3"/>
    </row>
    <row r="154" customFormat="1" spans="1:6">
      <c r="A154" s="7"/>
      <c r="B154" s="2"/>
      <c r="C154" s="2"/>
      <c r="D154" s="3" t="s">
        <v>11</v>
      </c>
      <c r="E154" s="3">
        <v>16</v>
      </c>
      <c r="F154">
        <f>PRODUCT(E154:E156)</f>
        <v>131072</v>
      </c>
    </row>
    <row r="155" customFormat="1" spans="1:5">
      <c r="A155" s="7"/>
      <c r="B155" s="2"/>
      <c r="C155" s="2"/>
      <c r="D155" s="3" t="s">
        <v>12</v>
      </c>
      <c r="E155" s="3">
        <v>16</v>
      </c>
    </row>
    <row r="156" customFormat="1" spans="1:5">
      <c r="A156" s="7"/>
      <c r="B156" s="2"/>
      <c r="C156" s="2"/>
      <c r="D156" s="3" t="s">
        <v>13</v>
      </c>
      <c r="E156" s="3">
        <v>512</v>
      </c>
    </row>
    <row r="157" customFormat="1" spans="1:6">
      <c r="A157" s="7"/>
      <c r="B157" s="2"/>
      <c r="C157" s="3"/>
      <c r="D157" s="3"/>
      <c r="E157" s="3"/>
      <c r="F157" s="4">
        <f>SUM(F136,F143,F147,F154)</f>
        <v>3624140800</v>
      </c>
    </row>
    <row r="158" customFormat="1" spans="1:1">
      <c r="A158" s="7"/>
    </row>
    <row r="159" customFormat="1" spans="1:1">
      <c r="A159" s="7"/>
    </row>
    <row r="160" customFormat="1" spans="1:5">
      <c r="A160" s="7"/>
      <c r="B160" s="2" t="s">
        <v>43</v>
      </c>
      <c r="C160" s="3"/>
      <c r="D160" s="3" t="s">
        <v>21</v>
      </c>
      <c r="E160" s="3"/>
    </row>
    <row r="161" customFormat="1" spans="1:5">
      <c r="A161" s="7"/>
      <c r="B161" s="2"/>
      <c r="C161" s="2" t="s">
        <v>44</v>
      </c>
      <c r="D161" s="3"/>
      <c r="E161" s="3"/>
    </row>
    <row r="162" customFormat="1" spans="1:6">
      <c r="A162" s="7"/>
      <c r="B162" s="2"/>
      <c r="C162" s="2"/>
      <c r="D162" s="3" t="s">
        <v>8</v>
      </c>
      <c r="E162" s="3">
        <v>32</v>
      </c>
      <c r="F162">
        <f>2*PRODUCT(E162:E167)</f>
        <v>4831838208</v>
      </c>
    </row>
    <row r="163" customFormat="1" spans="1:5">
      <c r="A163" s="7"/>
      <c r="B163" s="2"/>
      <c r="C163" s="2"/>
      <c r="D163" s="3" t="s">
        <v>9</v>
      </c>
      <c r="E163" s="3">
        <v>32</v>
      </c>
    </row>
    <row r="164" customFormat="1" spans="1:5">
      <c r="A164" s="7"/>
      <c r="B164" s="2"/>
      <c r="C164" s="2"/>
      <c r="D164" s="3" t="s">
        <v>15</v>
      </c>
      <c r="E164" s="3">
        <v>256</v>
      </c>
    </row>
    <row r="165" customFormat="1" spans="1:5">
      <c r="A165" s="7"/>
      <c r="B165" s="2"/>
      <c r="C165" s="2"/>
      <c r="D165" s="3" t="s">
        <v>34</v>
      </c>
      <c r="E165" s="5">
        <v>1024</v>
      </c>
    </row>
    <row r="166" customFormat="1" spans="1:5">
      <c r="A166" s="7"/>
      <c r="B166" s="2"/>
      <c r="C166" s="2"/>
      <c r="D166" s="3" t="s">
        <v>6</v>
      </c>
      <c r="E166" s="3">
        <v>3</v>
      </c>
    </row>
    <row r="167" customFormat="1" spans="1:5">
      <c r="A167" s="7"/>
      <c r="B167" s="2"/>
      <c r="C167" s="2"/>
      <c r="D167" s="3" t="s">
        <v>7</v>
      </c>
      <c r="E167" s="3">
        <v>3</v>
      </c>
    </row>
    <row r="168" customFormat="1" spans="1:5">
      <c r="A168" s="7"/>
      <c r="B168" s="2"/>
      <c r="C168" s="2" t="s">
        <v>16</v>
      </c>
      <c r="D168" s="3"/>
      <c r="E168" s="3"/>
    </row>
    <row r="169" customFormat="1" spans="1:6">
      <c r="A169" s="7"/>
      <c r="B169" s="2"/>
      <c r="C169" s="2"/>
      <c r="D169" s="3" t="s">
        <v>11</v>
      </c>
      <c r="E169" s="3">
        <v>32</v>
      </c>
      <c r="F169">
        <f>PRODUCT(E169:E171)</f>
        <v>262144</v>
      </c>
    </row>
    <row r="170" customFormat="1" spans="1:5">
      <c r="A170" s="7"/>
      <c r="B170" s="2"/>
      <c r="C170" s="2"/>
      <c r="D170" s="3" t="s">
        <v>12</v>
      </c>
      <c r="E170" s="3">
        <v>32</v>
      </c>
    </row>
    <row r="171" customFormat="1" spans="1:5">
      <c r="A171" s="7"/>
      <c r="B171" s="2"/>
      <c r="C171" s="2"/>
      <c r="D171" s="3" t="s">
        <v>13</v>
      </c>
      <c r="E171" s="3">
        <v>256</v>
      </c>
    </row>
    <row r="172" customFormat="1" spans="1:5">
      <c r="A172" s="7"/>
      <c r="B172" s="2"/>
      <c r="C172" s="2" t="s">
        <v>44</v>
      </c>
      <c r="D172" s="3"/>
      <c r="E172" s="3"/>
    </row>
    <row r="173" customFormat="1" spans="1:6">
      <c r="A173" s="7"/>
      <c r="B173" s="2"/>
      <c r="C173" s="2"/>
      <c r="D173" s="3" t="s">
        <v>8</v>
      </c>
      <c r="E173" s="3">
        <v>32</v>
      </c>
      <c r="F173">
        <f>2*PRODUCT(E173:E178)</f>
        <v>1207959552</v>
      </c>
    </row>
    <row r="174" customFormat="1" spans="1:5">
      <c r="A174" s="7"/>
      <c r="B174" s="2"/>
      <c r="C174" s="2"/>
      <c r="D174" s="3" t="s">
        <v>9</v>
      </c>
      <c r="E174" s="3">
        <v>32</v>
      </c>
    </row>
    <row r="175" customFormat="1" spans="1:5">
      <c r="A175" s="7"/>
      <c r="B175" s="2"/>
      <c r="C175" s="2"/>
      <c r="D175" s="3" t="s">
        <v>15</v>
      </c>
      <c r="E175" s="3">
        <v>256</v>
      </c>
    </row>
    <row r="176" customFormat="1" spans="1:5">
      <c r="A176" s="7"/>
      <c r="B176" s="2"/>
      <c r="C176" s="2"/>
      <c r="D176" s="3" t="s">
        <v>34</v>
      </c>
      <c r="E176" s="3">
        <v>256</v>
      </c>
    </row>
    <row r="177" customFormat="1" spans="1:5">
      <c r="A177" s="7"/>
      <c r="B177" s="2"/>
      <c r="C177" s="2"/>
      <c r="D177" s="3" t="s">
        <v>6</v>
      </c>
      <c r="E177" s="3">
        <v>3</v>
      </c>
    </row>
    <row r="178" customFormat="1" spans="1:5">
      <c r="A178" s="7"/>
      <c r="B178" s="2"/>
      <c r="C178" s="2"/>
      <c r="D178" s="3" t="s">
        <v>7</v>
      </c>
      <c r="E178" s="3">
        <v>3</v>
      </c>
    </row>
    <row r="179" customFormat="1" spans="1:5">
      <c r="A179" s="7"/>
      <c r="B179" s="2"/>
      <c r="C179" s="2" t="s">
        <v>16</v>
      </c>
      <c r="D179" s="3"/>
      <c r="E179" s="3"/>
    </row>
    <row r="180" customFormat="1" spans="1:6">
      <c r="A180" s="7"/>
      <c r="B180" s="2"/>
      <c r="C180" s="2"/>
      <c r="D180" s="3" t="s">
        <v>11</v>
      </c>
      <c r="E180" s="3">
        <v>32</v>
      </c>
      <c r="F180">
        <f>PRODUCT(E180:E182)</f>
        <v>262144</v>
      </c>
    </row>
    <row r="181" customFormat="1" spans="1:5">
      <c r="A181" s="7"/>
      <c r="B181" s="2"/>
      <c r="C181" s="2"/>
      <c r="D181" s="3" t="s">
        <v>12</v>
      </c>
      <c r="E181" s="3">
        <v>32</v>
      </c>
    </row>
    <row r="182" customFormat="1" spans="1:5">
      <c r="A182" s="7"/>
      <c r="B182" s="2"/>
      <c r="C182" s="2"/>
      <c r="D182" s="3" t="s">
        <v>13</v>
      </c>
      <c r="E182" s="3">
        <v>256</v>
      </c>
    </row>
    <row r="183" customFormat="1" spans="1:6">
      <c r="A183" s="7"/>
      <c r="B183" s="2"/>
      <c r="C183" s="3"/>
      <c r="D183" s="3"/>
      <c r="E183" s="3"/>
      <c r="F183" s="4">
        <f>SUM(F162,F169,F173,F180)</f>
        <v>6040322048</v>
      </c>
    </row>
    <row r="184" customFormat="1" spans="1:1">
      <c r="A184" s="7"/>
    </row>
    <row r="185" customFormat="1" spans="1:1">
      <c r="A185" s="7"/>
    </row>
    <row r="186" customFormat="1" spans="1:5">
      <c r="A186" s="7"/>
      <c r="B186" s="2" t="s">
        <v>42</v>
      </c>
      <c r="C186" s="3"/>
      <c r="D186" s="3" t="s">
        <v>18</v>
      </c>
      <c r="E186" s="3"/>
    </row>
    <row r="187" customFormat="1" spans="1:5">
      <c r="A187" s="7"/>
      <c r="B187" s="2"/>
      <c r="C187" s="2" t="s">
        <v>33</v>
      </c>
      <c r="D187" s="3"/>
      <c r="E187" s="3"/>
    </row>
    <row r="188" customFormat="1" spans="1:6">
      <c r="A188" s="7"/>
      <c r="B188" s="2"/>
      <c r="C188" s="2"/>
      <c r="D188" s="3" t="s">
        <v>8</v>
      </c>
      <c r="E188" s="3">
        <v>64</v>
      </c>
      <c r="F188">
        <f>2*PRODUCT(E188:E193)</f>
        <v>4831838208</v>
      </c>
    </row>
    <row r="189" customFormat="1" spans="1:5">
      <c r="A189" s="7"/>
      <c r="B189" s="2"/>
      <c r="C189" s="2"/>
      <c r="D189" s="3" t="s">
        <v>9</v>
      </c>
      <c r="E189" s="3">
        <v>64</v>
      </c>
    </row>
    <row r="190" customFormat="1" spans="1:5">
      <c r="A190" s="7"/>
      <c r="B190" s="2"/>
      <c r="C190" s="2"/>
      <c r="D190" s="3" t="s">
        <v>15</v>
      </c>
      <c r="E190" s="3">
        <v>128</v>
      </c>
    </row>
    <row r="191" customFormat="1" spans="1:5">
      <c r="A191" s="7"/>
      <c r="B191" s="2"/>
      <c r="C191" s="2"/>
      <c r="D191" s="3" t="s">
        <v>34</v>
      </c>
      <c r="E191" s="5">
        <v>512</v>
      </c>
    </row>
    <row r="192" customFormat="1" spans="1:5">
      <c r="A192" s="7"/>
      <c r="B192" s="2"/>
      <c r="C192" s="2"/>
      <c r="D192" s="3" t="s">
        <v>6</v>
      </c>
      <c r="E192" s="3">
        <v>3</v>
      </c>
    </row>
    <row r="193" customFormat="1" spans="1:5">
      <c r="A193" s="7"/>
      <c r="B193" s="2"/>
      <c r="C193" s="2"/>
      <c r="D193" s="3" t="s">
        <v>7</v>
      </c>
      <c r="E193" s="3">
        <v>3</v>
      </c>
    </row>
    <row r="194" customFormat="1" spans="1:5">
      <c r="A194" s="7"/>
      <c r="B194" s="2"/>
      <c r="C194" s="2" t="s">
        <v>16</v>
      </c>
      <c r="D194" s="3"/>
      <c r="E194" s="3"/>
    </row>
    <row r="195" customFormat="1" spans="1:6">
      <c r="A195" s="7"/>
      <c r="B195" s="2"/>
      <c r="C195" s="2"/>
      <c r="D195" s="3" t="s">
        <v>11</v>
      </c>
      <c r="E195" s="3">
        <v>64</v>
      </c>
      <c r="F195">
        <f>PRODUCT(E195:E197)</f>
        <v>524288</v>
      </c>
    </row>
    <row r="196" customFormat="1" spans="1:5">
      <c r="A196" s="7"/>
      <c r="B196" s="2"/>
      <c r="C196" s="2"/>
      <c r="D196" s="3" t="s">
        <v>12</v>
      </c>
      <c r="E196" s="3">
        <v>64</v>
      </c>
    </row>
    <row r="197" customFormat="1" spans="1:5">
      <c r="A197" s="7"/>
      <c r="B197" s="2"/>
      <c r="C197" s="2"/>
      <c r="D197" s="3" t="s">
        <v>13</v>
      </c>
      <c r="E197" s="3">
        <v>128</v>
      </c>
    </row>
    <row r="198" customFormat="1" spans="1:5">
      <c r="A198" s="7"/>
      <c r="B198" s="2"/>
      <c r="C198" s="2" t="s">
        <v>33</v>
      </c>
      <c r="D198" s="3"/>
      <c r="E198" s="3"/>
    </row>
    <row r="199" customFormat="1" spans="1:6">
      <c r="A199" s="7"/>
      <c r="B199" s="2"/>
      <c r="C199" s="2"/>
      <c r="D199" s="3" t="s">
        <v>8</v>
      </c>
      <c r="E199" s="3">
        <v>64</v>
      </c>
      <c r="F199">
        <f>2*PRODUCT(E199:E204)</f>
        <v>1207959552</v>
      </c>
    </row>
    <row r="200" customFormat="1" spans="1:5">
      <c r="A200" s="7"/>
      <c r="B200" s="2"/>
      <c r="C200" s="2"/>
      <c r="D200" s="3" t="s">
        <v>9</v>
      </c>
      <c r="E200" s="3">
        <v>64</v>
      </c>
    </row>
    <row r="201" customFormat="1" spans="1:5">
      <c r="A201" s="7"/>
      <c r="B201" s="2"/>
      <c r="C201" s="2"/>
      <c r="D201" s="3" t="s">
        <v>15</v>
      </c>
      <c r="E201" s="3">
        <v>128</v>
      </c>
    </row>
    <row r="202" customFormat="1" spans="1:5">
      <c r="A202" s="7"/>
      <c r="B202" s="2"/>
      <c r="C202" s="2"/>
      <c r="D202" s="3" t="s">
        <v>34</v>
      </c>
      <c r="E202" s="3">
        <v>128</v>
      </c>
    </row>
    <row r="203" customFormat="1" spans="1:5">
      <c r="A203" s="7"/>
      <c r="B203" s="2"/>
      <c r="C203" s="2"/>
      <c r="D203" s="3" t="s">
        <v>6</v>
      </c>
      <c r="E203" s="3">
        <v>3</v>
      </c>
    </row>
    <row r="204" customFormat="1" spans="1:5">
      <c r="A204" s="7"/>
      <c r="B204" s="2"/>
      <c r="C204" s="2"/>
      <c r="D204" s="3" t="s">
        <v>7</v>
      </c>
      <c r="E204" s="3">
        <v>3</v>
      </c>
    </row>
    <row r="205" customFormat="1" spans="1:5">
      <c r="A205" s="7"/>
      <c r="B205" s="2"/>
      <c r="C205" s="2" t="s">
        <v>16</v>
      </c>
      <c r="D205" s="3"/>
      <c r="E205" s="3"/>
    </row>
    <row r="206" customFormat="1" spans="1:6">
      <c r="A206" s="7"/>
      <c r="B206" s="2"/>
      <c r="C206" s="2"/>
      <c r="D206" s="3" t="s">
        <v>11</v>
      </c>
      <c r="E206" s="3">
        <v>64</v>
      </c>
      <c r="F206">
        <f>PRODUCT(E206:E208)</f>
        <v>524288</v>
      </c>
    </row>
    <row r="207" customFormat="1" spans="1:5">
      <c r="A207" s="7"/>
      <c r="B207" s="2"/>
      <c r="C207" s="2"/>
      <c r="D207" s="3" t="s">
        <v>12</v>
      </c>
      <c r="E207" s="3">
        <v>64</v>
      </c>
    </row>
    <row r="208" customFormat="1" spans="1:5">
      <c r="A208" s="7"/>
      <c r="B208" s="2"/>
      <c r="C208" s="2"/>
      <c r="D208" s="3" t="s">
        <v>13</v>
      </c>
      <c r="E208" s="3">
        <v>128</v>
      </c>
    </row>
    <row r="209" customFormat="1" spans="1:6">
      <c r="A209" s="7"/>
      <c r="B209" s="2"/>
      <c r="C209" s="3"/>
      <c r="D209" s="3"/>
      <c r="E209" s="3"/>
      <c r="F209" s="4">
        <f>SUM(F188,F195,F199,F206)</f>
        <v>6040846336</v>
      </c>
    </row>
    <row r="210" customFormat="1" spans="1:1">
      <c r="A210" s="7"/>
    </row>
    <row r="211" customFormat="1" spans="1:1">
      <c r="A211" s="7"/>
    </row>
    <row r="212" customFormat="1" spans="1:5">
      <c r="A212" s="7"/>
      <c r="B212" s="2" t="s">
        <v>39</v>
      </c>
      <c r="C212" s="3"/>
      <c r="D212" s="3" t="s">
        <v>40</v>
      </c>
      <c r="E212" s="3"/>
    </row>
    <row r="213" customFormat="1" spans="1:5">
      <c r="A213" s="7"/>
      <c r="B213" s="2"/>
      <c r="C213" s="2" t="s">
        <v>33</v>
      </c>
      <c r="D213" s="3"/>
      <c r="E213" s="3"/>
    </row>
    <row r="214" customFormat="1" spans="1:6">
      <c r="A214" s="7"/>
      <c r="B214" s="2"/>
      <c r="C214" s="2"/>
      <c r="D214" s="3" t="s">
        <v>8</v>
      </c>
      <c r="E214" s="3">
        <v>128</v>
      </c>
      <c r="F214">
        <f>2*PRODUCT(E214:E219)</f>
        <v>7247757312</v>
      </c>
    </row>
    <row r="215" customFormat="1" spans="1:5">
      <c r="A215" s="7"/>
      <c r="B215" s="2"/>
      <c r="C215" s="2"/>
      <c r="D215" s="3" t="s">
        <v>9</v>
      </c>
      <c r="E215" s="3">
        <v>128</v>
      </c>
    </row>
    <row r="216" customFormat="1" spans="1:5">
      <c r="A216" s="7"/>
      <c r="B216" s="2"/>
      <c r="C216" s="2"/>
      <c r="D216" s="3" t="s">
        <v>15</v>
      </c>
      <c r="E216" s="3">
        <v>64</v>
      </c>
    </row>
    <row r="217" customFormat="1" spans="1:5">
      <c r="A217" s="7"/>
      <c r="B217" s="2"/>
      <c r="C217" s="2"/>
      <c r="D217" s="3" t="s">
        <v>34</v>
      </c>
      <c r="E217" s="5">
        <v>384</v>
      </c>
    </row>
    <row r="218" customFormat="1" spans="1:5">
      <c r="A218" s="7"/>
      <c r="B218" s="2"/>
      <c r="C218" s="2"/>
      <c r="D218" s="3" t="s">
        <v>6</v>
      </c>
      <c r="E218" s="3">
        <v>3</v>
      </c>
    </row>
    <row r="219" customFormat="1" spans="1:5">
      <c r="A219" s="7"/>
      <c r="B219" s="2"/>
      <c r="C219" s="2"/>
      <c r="D219" s="3" t="s">
        <v>7</v>
      </c>
      <c r="E219" s="3">
        <v>3</v>
      </c>
    </row>
    <row r="220" customFormat="1" spans="1:5">
      <c r="A220" s="7"/>
      <c r="B220" s="2"/>
      <c r="C220" s="2" t="s">
        <v>16</v>
      </c>
      <c r="D220" s="3"/>
      <c r="E220" s="3"/>
    </row>
    <row r="221" customFormat="1" spans="1:6">
      <c r="A221" s="7"/>
      <c r="B221" s="2"/>
      <c r="C221" s="2"/>
      <c r="D221" s="3" t="s">
        <v>11</v>
      </c>
      <c r="E221" s="3">
        <v>128</v>
      </c>
      <c r="F221">
        <f>PRODUCT(E221:E223)</f>
        <v>1048576</v>
      </c>
    </row>
    <row r="222" customFormat="1" spans="1:5">
      <c r="A222" s="7"/>
      <c r="B222" s="2"/>
      <c r="C222" s="2"/>
      <c r="D222" s="3" t="s">
        <v>12</v>
      </c>
      <c r="E222" s="3">
        <v>128</v>
      </c>
    </row>
    <row r="223" customFormat="1" spans="1:5">
      <c r="A223" s="7"/>
      <c r="B223" s="2"/>
      <c r="C223" s="2"/>
      <c r="D223" s="3" t="s">
        <v>13</v>
      </c>
      <c r="E223" s="3">
        <v>64</v>
      </c>
    </row>
    <row r="224" customFormat="1" spans="1:5">
      <c r="A224" s="7"/>
      <c r="B224" s="2"/>
      <c r="C224" s="2" t="s">
        <v>33</v>
      </c>
      <c r="D224" s="3"/>
      <c r="E224" s="3"/>
    </row>
    <row r="225" customFormat="1" spans="1:6">
      <c r="A225" s="7"/>
      <c r="B225" s="2"/>
      <c r="C225" s="2"/>
      <c r="D225" s="3" t="s">
        <v>8</v>
      </c>
      <c r="E225" s="3">
        <v>128</v>
      </c>
      <c r="F225">
        <f>2*PRODUCT(E225:E230)</f>
        <v>1207959552</v>
      </c>
    </row>
    <row r="226" customFormat="1" spans="1:5">
      <c r="A226" s="7"/>
      <c r="B226" s="2"/>
      <c r="C226" s="2"/>
      <c r="D226" s="3" t="s">
        <v>9</v>
      </c>
      <c r="E226" s="3">
        <v>128</v>
      </c>
    </row>
    <row r="227" customFormat="1" spans="1:5">
      <c r="A227" s="7"/>
      <c r="B227" s="2"/>
      <c r="C227" s="2"/>
      <c r="D227" s="3" t="s">
        <v>15</v>
      </c>
      <c r="E227" s="3">
        <v>64</v>
      </c>
    </row>
    <row r="228" customFormat="1" spans="1:5">
      <c r="A228" s="7"/>
      <c r="B228" s="2"/>
      <c r="C228" s="2"/>
      <c r="D228" s="3" t="s">
        <v>34</v>
      </c>
      <c r="E228" s="3">
        <v>64</v>
      </c>
    </row>
    <row r="229" customFormat="1" spans="1:5">
      <c r="A229" s="7"/>
      <c r="B229" s="2"/>
      <c r="C229" s="2"/>
      <c r="D229" s="3" t="s">
        <v>6</v>
      </c>
      <c r="E229" s="3">
        <v>3</v>
      </c>
    </row>
    <row r="230" customFormat="1" spans="1:5">
      <c r="A230" s="7"/>
      <c r="B230" s="2"/>
      <c r="C230" s="2"/>
      <c r="D230" s="3" t="s">
        <v>7</v>
      </c>
      <c r="E230" s="3">
        <v>3</v>
      </c>
    </row>
    <row r="231" customFormat="1" spans="1:5">
      <c r="A231" s="7"/>
      <c r="B231" s="2"/>
      <c r="C231" s="2" t="s">
        <v>16</v>
      </c>
      <c r="D231" s="3"/>
      <c r="E231" s="3"/>
    </row>
    <row r="232" customFormat="1" spans="1:6">
      <c r="A232" s="7"/>
      <c r="B232" s="2"/>
      <c r="C232" s="2"/>
      <c r="D232" s="3" t="s">
        <v>11</v>
      </c>
      <c r="E232" s="3">
        <v>128</v>
      </c>
      <c r="F232">
        <f>PRODUCT(E232:E234)</f>
        <v>1048576</v>
      </c>
    </row>
    <row r="233" customFormat="1" spans="1:5">
      <c r="A233" s="7"/>
      <c r="B233" s="2"/>
      <c r="C233" s="2"/>
      <c r="D233" s="3" t="s">
        <v>12</v>
      </c>
      <c r="E233" s="3">
        <v>128</v>
      </c>
    </row>
    <row r="234" customFormat="1" spans="1:5">
      <c r="A234" s="7"/>
      <c r="B234" s="2"/>
      <c r="C234" s="2"/>
      <c r="D234" s="3" t="s">
        <v>13</v>
      </c>
      <c r="E234" s="3">
        <v>64</v>
      </c>
    </row>
    <row r="235" customFormat="1" spans="1:6">
      <c r="A235" s="7"/>
      <c r="B235" s="2"/>
      <c r="C235" s="3"/>
      <c r="D235" s="3"/>
      <c r="E235" s="3"/>
      <c r="F235" s="4">
        <f>SUM(F214,F221,F225,F232)</f>
        <v>8457814016</v>
      </c>
    </row>
    <row r="236" customFormat="1"/>
    <row r="237" customFormat="1"/>
    <row r="238" customFormat="1"/>
    <row r="239" customFormat="1" spans="2:5">
      <c r="B239" s="2" t="s">
        <v>50</v>
      </c>
      <c r="C239" s="3"/>
      <c r="D239" s="3" t="s">
        <v>40</v>
      </c>
      <c r="E239" s="3"/>
    </row>
    <row r="240" customFormat="1" spans="2:5">
      <c r="B240" s="2"/>
      <c r="C240" s="2" t="s">
        <v>51</v>
      </c>
      <c r="D240" s="3"/>
      <c r="E240" s="3"/>
    </row>
    <row r="241" customFormat="1" spans="2:6">
      <c r="B241" s="2"/>
      <c r="C241" s="2"/>
      <c r="D241" s="3" t="s">
        <v>8</v>
      </c>
      <c r="E241" s="3">
        <v>128</v>
      </c>
      <c r="F241">
        <f>2*PRODUCT(E241:E246)</f>
        <v>37748736</v>
      </c>
    </row>
    <row r="242" customFormat="1" spans="2:5">
      <c r="B242" s="2"/>
      <c r="C242" s="2"/>
      <c r="D242" s="3" t="s">
        <v>9</v>
      </c>
      <c r="E242" s="3">
        <v>128</v>
      </c>
    </row>
    <row r="243" customFormat="1" spans="2:5">
      <c r="B243" s="2"/>
      <c r="C243" s="2"/>
      <c r="D243" s="3" t="s">
        <v>15</v>
      </c>
      <c r="E243" s="3">
        <v>2</v>
      </c>
    </row>
    <row r="244" customFormat="1" spans="2:5">
      <c r="B244" s="2"/>
      <c r="C244" s="2"/>
      <c r="D244" s="3" t="s">
        <v>34</v>
      </c>
      <c r="E244" s="3">
        <v>64</v>
      </c>
    </row>
    <row r="245" customFormat="1" spans="2:5">
      <c r="B245" s="2"/>
      <c r="C245" s="2"/>
      <c r="D245" s="3" t="s">
        <v>6</v>
      </c>
      <c r="E245" s="3">
        <v>3</v>
      </c>
    </row>
    <row r="246" customFormat="1" spans="2:5">
      <c r="B246" s="2"/>
      <c r="C246" s="2"/>
      <c r="D246" s="3" t="s">
        <v>7</v>
      </c>
      <c r="E246" s="3">
        <v>3</v>
      </c>
    </row>
    <row r="247" customFormat="1" spans="2:5">
      <c r="B247" s="2"/>
      <c r="C247" s="2" t="s">
        <v>16</v>
      </c>
      <c r="D247" s="3"/>
      <c r="E247" s="3"/>
    </row>
    <row r="248" customFormat="1" spans="2:6">
      <c r="B248" s="2"/>
      <c r="C248" s="2"/>
      <c r="D248" s="3" t="s">
        <v>11</v>
      </c>
      <c r="E248" s="3">
        <v>128</v>
      </c>
      <c r="F248">
        <f>PRODUCT(E248:E250)</f>
        <v>32768</v>
      </c>
    </row>
    <row r="249" customFormat="1" spans="2:5">
      <c r="B249" s="2"/>
      <c r="C249" s="2"/>
      <c r="D249" s="3" t="s">
        <v>12</v>
      </c>
      <c r="E249" s="3">
        <v>128</v>
      </c>
    </row>
    <row r="250" customFormat="1" spans="2:5">
      <c r="B250" s="2"/>
      <c r="C250" s="2"/>
      <c r="D250" s="3" t="s">
        <v>13</v>
      </c>
      <c r="E250" s="3">
        <v>2</v>
      </c>
    </row>
    <row r="251" customFormat="1" spans="2:5">
      <c r="B251" s="2"/>
      <c r="C251" s="2" t="s">
        <v>52</v>
      </c>
      <c r="D251" s="3"/>
      <c r="E251" s="3"/>
    </row>
    <row r="252" customFormat="1" spans="2:6">
      <c r="B252" s="2"/>
      <c r="C252" s="2"/>
      <c r="D252" s="3" t="s">
        <v>8</v>
      </c>
      <c r="E252" s="3">
        <v>128</v>
      </c>
      <c r="F252">
        <f>2*PRODUCT(E252:E257)</f>
        <v>589824</v>
      </c>
    </row>
    <row r="253" customFormat="1" spans="2:5">
      <c r="B253" s="2"/>
      <c r="C253" s="2"/>
      <c r="D253" s="3" t="s">
        <v>9</v>
      </c>
      <c r="E253" s="3">
        <v>128</v>
      </c>
    </row>
    <row r="254" customFormat="1" spans="2:5">
      <c r="B254" s="2"/>
      <c r="C254" s="2"/>
      <c r="D254" s="3" t="s">
        <v>15</v>
      </c>
      <c r="E254" s="3">
        <v>1</v>
      </c>
    </row>
    <row r="255" customFormat="1" spans="2:5">
      <c r="B255" s="2"/>
      <c r="C255" s="2"/>
      <c r="D255" s="3" t="s">
        <v>34</v>
      </c>
      <c r="E255" s="3">
        <v>2</v>
      </c>
    </row>
    <row r="256" customFormat="1" spans="2:5">
      <c r="B256" s="2"/>
      <c r="C256" s="2"/>
      <c r="D256" s="3" t="s">
        <v>6</v>
      </c>
      <c r="E256" s="3">
        <v>3</v>
      </c>
    </row>
    <row r="257" customFormat="1" spans="2:5">
      <c r="B257" s="2"/>
      <c r="C257" s="2"/>
      <c r="D257" s="3" t="s">
        <v>7</v>
      </c>
      <c r="E257" s="3">
        <v>3</v>
      </c>
    </row>
    <row r="258" customFormat="1" spans="2:5">
      <c r="B258" s="2"/>
      <c r="C258" s="2" t="s">
        <v>16</v>
      </c>
      <c r="D258" s="3"/>
      <c r="E258" s="3"/>
    </row>
    <row r="259" customFormat="1" spans="2:6">
      <c r="B259" s="2"/>
      <c r="C259" s="2"/>
      <c r="D259" s="3" t="s">
        <v>11</v>
      </c>
      <c r="E259" s="3">
        <v>128</v>
      </c>
      <c r="F259">
        <f>PRODUCT(E259:E261)</f>
        <v>16384</v>
      </c>
    </row>
    <row r="260" customFormat="1" spans="2:5">
      <c r="B260" s="2"/>
      <c r="C260" s="2"/>
      <c r="D260" s="3" t="s">
        <v>12</v>
      </c>
      <c r="E260" s="3">
        <v>128</v>
      </c>
    </row>
    <row r="261" customFormat="1" spans="2:5">
      <c r="B261" s="2"/>
      <c r="C261" s="2"/>
      <c r="D261" s="3" t="s">
        <v>13</v>
      </c>
      <c r="E261" s="3">
        <v>1</v>
      </c>
    </row>
    <row r="262" customFormat="1" spans="2:5">
      <c r="B262" s="2"/>
      <c r="C262" s="2" t="s">
        <v>33</v>
      </c>
      <c r="D262" s="3"/>
      <c r="E262" s="3"/>
    </row>
    <row r="263" customFormat="1" spans="2:6">
      <c r="B263" s="2"/>
      <c r="C263" s="2"/>
      <c r="D263" s="3" t="s">
        <v>8</v>
      </c>
      <c r="E263" s="3">
        <v>128</v>
      </c>
      <c r="F263">
        <f>2*PRODUCT(E263:E268)</f>
        <v>37748736</v>
      </c>
    </row>
    <row r="264" customFormat="1" spans="2:5">
      <c r="B264" s="2"/>
      <c r="C264" s="2"/>
      <c r="D264" s="3" t="s">
        <v>9</v>
      </c>
      <c r="E264" s="3">
        <v>128</v>
      </c>
    </row>
    <row r="265" customFormat="1" spans="2:5">
      <c r="B265" s="2"/>
      <c r="C265" s="2"/>
      <c r="D265" s="3" t="s">
        <v>15</v>
      </c>
      <c r="E265" s="3">
        <v>128</v>
      </c>
    </row>
    <row r="266" customFormat="1" spans="2:5">
      <c r="B266" s="2"/>
      <c r="C266" s="2"/>
      <c r="D266" s="3" t="s">
        <v>34</v>
      </c>
      <c r="E266" s="3">
        <v>1</v>
      </c>
    </row>
    <row r="267" customFormat="1" spans="2:5">
      <c r="B267" s="2"/>
      <c r="C267" s="2"/>
      <c r="D267" s="3" t="s">
        <v>6</v>
      </c>
      <c r="E267" s="3">
        <v>3</v>
      </c>
    </row>
    <row r="268" customFormat="1" spans="2:5">
      <c r="B268" s="2"/>
      <c r="C268" s="2"/>
      <c r="D268" s="3" t="s">
        <v>7</v>
      </c>
      <c r="E268" s="3">
        <v>3</v>
      </c>
    </row>
    <row r="269" customFormat="1" spans="2:5">
      <c r="B269" s="2"/>
      <c r="C269" s="2" t="s">
        <v>16</v>
      </c>
      <c r="D269" s="3"/>
      <c r="E269" s="3"/>
    </row>
    <row r="270" customFormat="1" spans="2:6">
      <c r="B270" s="2"/>
      <c r="C270" s="2"/>
      <c r="D270" s="3" t="s">
        <v>11</v>
      </c>
      <c r="E270" s="3">
        <v>128</v>
      </c>
      <c r="F270">
        <f>PRODUCT(E270:E272)</f>
        <v>2097152</v>
      </c>
    </row>
    <row r="271" customFormat="1" spans="2:5">
      <c r="B271" s="2"/>
      <c r="C271" s="2"/>
      <c r="D271" s="3" t="s">
        <v>12</v>
      </c>
      <c r="E271" s="3">
        <v>128</v>
      </c>
    </row>
    <row r="272" customFormat="1" spans="2:5">
      <c r="B272" s="2"/>
      <c r="C272" s="2"/>
      <c r="D272" s="3" t="s">
        <v>13</v>
      </c>
      <c r="E272" s="3">
        <v>128</v>
      </c>
    </row>
    <row r="273" customFormat="1" spans="2:5">
      <c r="B273" s="2"/>
      <c r="C273" s="2" t="s">
        <v>33</v>
      </c>
      <c r="D273" s="3"/>
      <c r="E273" s="3"/>
    </row>
    <row r="274" customFormat="1" spans="2:6">
      <c r="B274" s="2"/>
      <c r="C274" s="2"/>
      <c r="D274" s="3" t="s">
        <v>8</v>
      </c>
      <c r="E274" s="3">
        <v>128</v>
      </c>
      <c r="F274">
        <f>2*PRODUCT(E274:E279)</f>
        <v>150994944</v>
      </c>
    </row>
    <row r="275" customFormat="1" spans="2:5">
      <c r="B275" s="2"/>
      <c r="C275" s="2"/>
      <c r="D275" s="3" t="s">
        <v>9</v>
      </c>
      <c r="E275" s="3">
        <v>128</v>
      </c>
    </row>
    <row r="276" customFormat="1" spans="2:5">
      <c r="B276" s="2"/>
      <c r="C276" s="2"/>
      <c r="D276" s="3" t="s">
        <v>15</v>
      </c>
      <c r="E276" s="3">
        <v>4</v>
      </c>
    </row>
    <row r="277" customFormat="1" spans="2:5">
      <c r="B277" s="2"/>
      <c r="C277" s="2"/>
      <c r="D277" s="3" t="s">
        <v>34</v>
      </c>
      <c r="E277" s="3">
        <v>128</v>
      </c>
    </row>
    <row r="278" customFormat="1" spans="2:5">
      <c r="B278" s="2"/>
      <c r="C278" s="2"/>
      <c r="D278" s="3" t="s">
        <v>6</v>
      </c>
      <c r="E278" s="3">
        <v>3</v>
      </c>
    </row>
    <row r="279" customFormat="1" spans="2:5">
      <c r="B279" s="2"/>
      <c r="C279" s="2"/>
      <c r="D279" s="3" t="s">
        <v>7</v>
      </c>
      <c r="E279" s="3">
        <v>3</v>
      </c>
    </row>
    <row r="280" customFormat="1" spans="3:6">
      <c r="C280" s="8"/>
      <c r="D280" s="9"/>
      <c r="E280" s="9"/>
      <c r="F280" s="10">
        <f>SUM(F241,F248,F252,F259,F263,F270,F274)</f>
        <v>229228544</v>
      </c>
    </row>
    <row r="281" customFormat="1" spans="3:6">
      <c r="C281" s="8"/>
      <c r="D281" s="9"/>
      <c r="E281" s="9"/>
      <c r="F281" s="11"/>
    </row>
    <row r="282" customFormat="1" spans="3:6">
      <c r="C282" s="8"/>
      <c r="D282" s="9"/>
      <c r="E282" s="9"/>
      <c r="F282" s="11"/>
    </row>
    <row r="283" customFormat="1"/>
    <row r="284" customFormat="1" spans="3:3">
      <c r="C284" s="3" t="s">
        <v>53</v>
      </c>
    </row>
    <row r="285" customFormat="1" spans="3:3">
      <c r="C285" s="6">
        <f>SUM(F25,L25,R25,X25,F51,L51,R51,F77,L77,F103,F129,L129,F157,F183,F209,F235,F280)</f>
        <v>66825732096</v>
      </c>
    </row>
    <row r="287" spans="3:3">
      <c r="C287">
        <f>C285*10^(-9)</f>
        <v>66.825732096</v>
      </c>
    </row>
  </sheetData>
  <mergeCells count="83">
    <mergeCell ref="A1:A129"/>
    <mergeCell ref="A134:A235"/>
    <mergeCell ref="B2:B25"/>
    <mergeCell ref="B28:B51"/>
    <mergeCell ref="B54:B77"/>
    <mergeCell ref="B80:B103"/>
    <mergeCell ref="B106:B129"/>
    <mergeCell ref="B134:B157"/>
    <mergeCell ref="B160:B183"/>
    <mergeCell ref="B186:B209"/>
    <mergeCell ref="B212:B235"/>
    <mergeCell ref="B239:B279"/>
    <mergeCell ref="C3:C9"/>
    <mergeCell ref="C10:C13"/>
    <mergeCell ref="C14:C20"/>
    <mergeCell ref="C21:C24"/>
    <mergeCell ref="C29:C35"/>
    <mergeCell ref="C36:C39"/>
    <mergeCell ref="C40:C46"/>
    <mergeCell ref="C47:C50"/>
    <mergeCell ref="C55:C61"/>
    <mergeCell ref="C62:C65"/>
    <mergeCell ref="C66:C72"/>
    <mergeCell ref="C73:C76"/>
    <mergeCell ref="C81:C87"/>
    <mergeCell ref="C88:C91"/>
    <mergeCell ref="C92:C98"/>
    <mergeCell ref="C99:C102"/>
    <mergeCell ref="C107:C113"/>
    <mergeCell ref="C114:C117"/>
    <mergeCell ref="C118:C124"/>
    <mergeCell ref="C125:C128"/>
    <mergeCell ref="C135:C141"/>
    <mergeCell ref="C142:C145"/>
    <mergeCell ref="C146:C152"/>
    <mergeCell ref="C153:C156"/>
    <mergeCell ref="C161:C167"/>
    <mergeCell ref="C168:C171"/>
    <mergeCell ref="C172:C178"/>
    <mergeCell ref="C179:C182"/>
    <mergeCell ref="C187:C193"/>
    <mergeCell ref="C194:C197"/>
    <mergeCell ref="C198:C204"/>
    <mergeCell ref="C205:C208"/>
    <mergeCell ref="C213:C219"/>
    <mergeCell ref="C220:C223"/>
    <mergeCell ref="C224:C230"/>
    <mergeCell ref="C231:C234"/>
    <mergeCell ref="C240:C246"/>
    <mergeCell ref="C247:C250"/>
    <mergeCell ref="C251:C257"/>
    <mergeCell ref="C258:C261"/>
    <mergeCell ref="C262:C268"/>
    <mergeCell ref="C269:C272"/>
    <mergeCell ref="C273:C279"/>
    <mergeCell ref="I3:I9"/>
    <mergeCell ref="I10:I13"/>
    <mergeCell ref="I14:I20"/>
    <mergeCell ref="I21:I24"/>
    <mergeCell ref="I29:I35"/>
    <mergeCell ref="I36:I39"/>
    <mergeCell ref="I40:I46"/>
    <mergeCell ref="I47:I50"/>
    <mergeCell ref="I55:I61"/>
    <mergeCell ref="I62:I65"/>
    <mergeCell ref="I66:I72"/>
    <mergeCell ref="I73:I76"/>
    <mergeCell ref="I107:I113"/>
    <mergeCell ref="I114:I117"/>
    <mergeCell ref="I118:I124"/>
    <mergeCell ref="I125:I128"/>
    <mergeCell ref="O3:O9"/>
    <mergeCell ref="O10:O13"/>
    <mergeCell ref="O14:O20"/>
    <mergeCell ref="O21:O24"/>
    <mergeCell ref="O29:O35"/>
    <mergeCell ref="O36:O39"/>
    <mergeCell ref="O40:O46"/>
    <mergeCell ref="O47:O50"/>
    <mergeCell ref="U3:U9"/>
    <mergeCell ref="U10:U13"/>
    <mergeCell ref="U14:U20"/>
    <mergeCell ref="U21:U2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7"/>
  <sheetViews>
    <sheetView tabSelected="1" zoomScale="85" zoomScaleNormal="85" topLeftCell="A259" workbookViewId="0">
      <selection activeCell="L283" sqref="L283"/>
    </sheetView>
  </sheetViews>
  <sheetFormatPr defaultColWidth="8.88888888888889" defaultRowHeight="14.4"/>
  <cols>
    <col min="3" max="3" width="26.7962962962963" customWidth="1"/>
    <col min="6" max="6" width="13.8888888888889" customWidth="1"/>
    <col min="9" max="9" width="11.5" customWidth="1"/>
  </cols>
  <sheetData>
    <row r="1" customFormat="1" spans="1:1">
      <c r="A1" s="1" t="s">
        <v>38</v>
      </c>
    </row>
    <row r="2" customFormat="1" spans="1:23">
      <c r="A2" s="1"/>
      <c r="B2" s="2" t="s">
        <v>39</v>
      </c>
      <c r="C2" s="3"/>
      <c r="D2" s="3" t="s">
        <v>40</v>
      </c>
      <c r="E2" s="3"/>
      <c r="I2" s="3"/>
      <c r="J2" s="3" t="s">
        <v>40</v>
      </c>
      <c r="K2" s="3"/>
      <c r="O2" s="3"/>
      <c r="P2" s="3" t="s">
        <v>40</v>
      </c>
      <c r="Q2" s="3"/>
      <c r="U2" s="3"/>
      <c r="V2" s="3" t="s">
        <v>40</v>
      </c>
      <c r="W2" s="3"/>
    </row>
    <row r="3" customFormat="1" spans="1:23">
      <c r="A3" s="1"/>
      <c r="B3" s="2"/>
      <c r="C3" s="2" t="s">
        <v>41</v>
      </c>
      <c r="D3" s="3"/>
      <c r="E3" s="3"/>
      <c r="I3" s="2" t="s">
        <v>41</v>
      </c>
      <c r="J3" s="3"/>
      <c r="K3" s="3"/>
      <c r="O3" s="2" t="s">
        <v>41</v>
      </c>
      <c r="P3" s="3"/>
      <c r="Q3" s="3"/>
      <c r="U3" s="2" t="s">
        <v>41</v>
      </c>
      <c r="V3" s="3"/>
      <c r="W3" s="3"/>
    </row>
    <row r="4" customFormat="1" spans="1:24">
      <c r="A4" s="1"/>
      <c r="B4" s="2"/>
      <c r="C4" s="2"/>
      <c r="D4" s="3" t="s">
        <v>8</v>
      </c>
      <c r="E4" s="3">
        <v>128</v>
      </c>
      <c r="F4">
        <f>2*PRODUCT(E4:E9)</f>
        <v>56623104</v>
      </c>
      <c r="I4" s="2"/>
      <c r="J4" s="3" t="s">
        <v>8</v>
      </c>
      <c r="K4" s="3">
        <v>128</v>
      </c>
      <c r="L4">
        <f>2*PRODUCT(K4:K9)</f>
        <v>3623878656</v>
      </c>
      <c r="O4" s="2"/>
      <c r="P4" s="3" t="s">
        <v>8</v>
      </c>
      <c r="Q4" s="3">
        <v>128</v>
      </c>
      <c r="R4">
        <f>2*PRODUCT(Q4:Q9)</f>
        <v>4831838208</v>
      </c>
      <c r="U4" s="2"/>
      <c r="V4" s="3" t="s">
        <v>8</v>
      </c>
      <c r="W4" s="3">
        <v>128</v>
      </c>
      <c r="X4">
        <f>2*PRODUCT(W4:W9)</f>
        <v>6039797760</v>
      </c>
    </row>
    <row r="5" customFormat="1" spans="1:23">
      <c r="A5" s="1"/>
      <c r="B5" s="2"/>
      <c r="C5" s="2"/>
      <c r="D5" s="3" t="s">
        <v>9</v>
      </c>
      <c r="E5" s="3">
        <v>128</v>
      </c>
      <c r="I5" s="2"/>
      <c r="J5" s="3" t="s">
        <v>9</v>
      </c>
      <c r="K5" s="3">
        <v>128</v>
      </c>
      <c r="O5" s="2"/>
      <c r="P5" s="3" t="s">
        <v>9</v>
      </c>
      <c r="Q5" s="3">
        <v>128</v>
      </c>
      <c r="U5" s="2"/>
      <c r="V5" s="3" t="s">
        <v>9</v>
      </c>
      <c r="W5" s="3">
        <v>128</v>
      </c>
    </row>
    <row r="6" customFormat="1" spans="1:23">
      <c r="A6" s="1"/>
      <c r="B6" s="2"/>
      <c r="C6" s="2"/>
      <c r="D6" s="3" t="s">
        <v>15</v>
      </c>
      <c r="E6" s="3">
        <v>64</v>
      </c>
      <c r="I6" s="2"/>
      <c r="J6" s="3" t="s">
        <v>15</v>
      </c>
      <c r="K6" s="3">
        <v>64</v>
      </c>
      <c r="O6" s="2"/>
      <c r="P6" s="3" t="s">
        <v>15</v>
      </c>
      <c r="Q6" s="3">
        <v>64</v>
      </c>
      <c r="U6" s="2"/>
      <c r="V6" s="3" t="s">
        <v>15</v>
      </c>
      <c r="W6" s="3">
        <v>64</v>
      </c>
    </row>
    <row r="7" customFormat="1" spans="1:23">
      <c r="A7" s="1"/>
      <c r="B7" s="2"/>
      <c r="C7" s="2"/>
      <c r="D7" s="3" t="s">
        <v>34</v>
      </c>
      <c r="E7" s="3">
        <v>3</v>
      </c>
      <c r="I7" s="2"/>
      <c r="J7" s="3" t="s">
        <v>34</v>
      </c>
      <c r="K7" s="5">
        <v>192</v>
      </c>
      <c r="O7" s="2"/>
      <c r="P7" s="3" t="s">
        <v>34</v>
      </c>
      <c r="Q7" s="5">
        <v>256</v>
      </c>
      <c r="U7" s="2"/>
      <c r="V7" s="3" t="s">
        <v>34</v>
      </c>
      <c r="W7" s="5">
        <v>320</v>
      </c>
    </row>
    <row r="8" customFormat="1" spans="1:23">
      <c r="A8" s="1"/>
      <c r="B8" s="2"/>
      <c r="C8" s="2"/>
      <c r="D8" s="3" t="s">
        <v>6</v>
      </c>
      <c r="E8" s="3">
        <v>3</v>
      </c>
      <c r="I8" s="2"/>
      <c r="J8" s="3" t="s">
        <v>6</v>
      </c>
      <c r="K8" s="3">
        <v>3</v>
      </c>
      <c r="O8" s="2"/>
      <c r="P8" s="3" t="s">
        <v>6</v>
      </c>
      <c r="Q8" s="3">
        <v>3</v>
      </c>
      <c r="U8" s="2"/>
      <c r="V8" s="3" t="s">
        <v>6</v>
      </c>
      <c r="W8" s="3">
        <v>3</v>
      </c>
    </row>
    <row r="9" customFormat="1" spans="1:23">
      <c r="A9" s="1"/>
      <c r="B9" s="2"/>
      <c r="C9" s="2"/>
      <c r="D9" s="3" t="s">
        <v>7</v>
      </c>
      <c r="E9" s="3">
        <v>3</v>
      </c>
      <c r="I9" s="2"/>
      <c r="J9" s="3" t="s">
        <v>7</v>
      </c>
      <c r="K9" s="3">
        <v>3</v>
      </c>
      <c r="O9" s="2"/>
      <c r="P9" s="3" t="s">
        <v>7</v>
      </c>
      <c r="Q9" s="3">
        <v>3</v>
      </c>
      <c r="U9" s="2"/>
      <c r="V9" s="3" t="s">
        <v>7</v>
      </c>
      <c r="W9" s="3">
        <v>3</v>
      </c>
    </row>
    <row r="10" customFormat="1" spans="1:23">
      <c r="A10" s="1"/>
      <c r="B10" s="2"/>
      <c r="C10" s="2" t="s">
        <v>16</v>
      </c>
      <c r="D10" s="3"/>
      <c r="E10" s="3"/>
      <c r="I10" s="2" t="s">
        <v>16</v>
      </c>
      <c r="J10" s="3"/>
      <c r="K10" s="3"/>
      <c r="O10" s="2" t="s">
        <v>16</v>
      </c>
      <c r="P10" s="3"/>
      <c r="Q10" s="3"/>
      <c r="U10" s="2" t="s">
        <v>16</v>
      </c>
      <c r="V10" s="3"/>
      <c r="W10" s="3"/>
    </row>
    <row r="11" customFormat="1" spans="1:24">
      <c r="A11" s="1"/>
      <c r="B11" s="2"/>
      <c r="C11" s="2"/>
      <c r="D11" s="3" t="s">
        <v>11</v>
      </c>
      <c r="E11" s="3">
        <v>128</v>
      </c>
      <c r="F11">
        <f>PRODUCT(E11:E13)</f>
        <v>1048576</v>
      </c>
      <c r="I11" s="2"/>
      <c r="J11" s="3" t="s">
        <v>11</v>
      </c>
      <c r="K11" s="3">
        <v>128</v>
      </c>
      <c r="L11">
        <f>PRODUCT(K11:K13)</f>
        <v>1048576</v>
      </c>
      <c r="O11" s="2"/>
      <c r="P11" s="3" t="s">
        <v>11</v>
      </c>
      <c r="Q11" s="3">
        <v>128</v>
      </c>
      <c r="R11">
        <f>PRODUCT(Q11:Q13)</f>
        <v>1048576</v>
      </c>
      <c r="U11" s="2"/>
      <c r="V11" s="3" t="s">
        <v>11</v>
      </c>
      <c r="W11" s="3">
        <v>128</v>
      </c>
      <c r="X11">
        <f>PRODUCT(W11:W13)</f>
        <v>1048576</v>
      </c>
    </row>
    <row r="12" customFormat="1" spans="1:23">
      <c r="A12" s="1"/>
      <c r="B12" s="2"/>
      <c r="C12" s="2"/>
      <c r="D12" s="3" t="s">
        <v>12</v>
      </c>
      <c r="E12" s="3">
        <v>128</v>
      </c>
      <c r="I12" s="2"/>
      <c r="J12" s="3" t="s">
        <v>12</v>
      </c>
      <c r="K12" s="3">
        <v>128</v>
      </c>
      <c r="O12" s="2"/>
      <c r="P12" s="3" t="s">
        <v>12</v>
      </c>
      <c r="Q12" s="3">
        <v>128</v>
      </c>
      <c r="U12" s="2"/>
      <c r="V12" s="3" t="s">
        <v>12</v>
      </c>
      <c r="W12" s="3">
        <v>128</v>
      </c>
    </row>
    <row r="13" customFormat="1" spans="1:23">
      <c r="A13" s="1"/>
      <c r="B13" s="2"/>
      <c r="C13" s="2"/>
      <c r="D13" s="3" t="s">
        <v>13</v>
      </c>
      <c r="E13" s="3">
        <v>64</v>
      </c>
      <c r="I13" s="2"/>
      <c r="J13" s="3" t="s">
        <v>13</v>
      </c>
      <c r="K13" s="3">
        <v>64</v>
      </c>
      <c r="O13" s="2"/>
      <c r="P13" s="3" t="s">
        <v>13</v>
      </c>
      <c r="Q13" s="3">
        <v>64</v>
      </c>
      <c r="U13" s="2"/>
      <c r="V13" s="3" t="s">
        <v>13</v>
      </c>
      <c r="W13" s="3">
        <v>64</v>
      </c>
    </row>
    <row r="14" customFormat="1" spans="1:23">
      <c r="A14" s="1"/>
      <c r="B14" s="2"/>
      <c r="C14" s="2" t="s">
        <v>41</v>
      </c>
      <c r="D14" s="3"/>
      <c r="E14" s="3"/>
      <c r="I14" s="2" t="s">
        <v>41</v>
      </c>
      <c r="J14" s="3"/>
      <c r="K14" s="3"/>
      <c r="O14" s="2" t="s">
        <v>41</v>
      </c>
      <c r="P14" s="3"/>
      <c r="Q14" s="3"/>
      <c r="U14" s="2" t="s">
        <v>41</v>
      </c>
      <c r="V14" s="3"/>
      <c r="W14" s="3"/>
    </row>
    <row r="15" customFormat="1" spans="1:24">
      <c r="A15" s="1"/>
      <c r="B15" s="2"/>
      <c r="C15" s="2"/>
      <c r="D15" s="3" t="s">
        <v>8</v>
      </c>
      <c r="E15" s="3">
        <v>128</v>
      </c>
      <c r="F15">
        <f>2*PRODUCT(E15:E20)</f>
        <v>1207959552</v>
      </c>
      <c r="I15" s="2"/>
      <c r="J15" s="3" t="s">
        <v>8</v>
      </c>
      <c r="K15" s="3">
        <v>128</v>
      </c>
      <c r="L15">
        <f>2*PRODUCT(K15:K20)</f>
        <v>1207959552</v>
      </c>
      <c r="O15" s="2"/>
      <c r="P15" s="3" t="s">
        <v>8</v>
      </c>
      <c r="Q15" s="3">
        <v>128</v>
      </c>
      <c r="R15">
        <f>2*PRODUCT(Q15:Q20)</f>
        <v>1207959552</v>
      </c>
      <c r="U15" s="2"/>
      <c r="V15" s="3" t="s">
        <v>8</v>
      </c>
      <c r="W15" s="3">
        <v>128</v>
      </c>
      <c r="X15">
        <f>2*PRODUCT(W15:W20)</f>
        <v>1207959552</v>
      </c>
    </row>
    <row r="16" customFormat="1" spans="1:23">
      <c r="A16" s="1"/>
      <c r="B16" s="2"/>
      <c r="C16" s="2"/>
      <c r="D16" s="3" t="s">
        <v>9</v>
      </c>
      <c r="E16" s="3">
        <v>128</v>
      </c>
      <c r="I16" s="2"/>
      <c r="J16" s="3" t="s">
        <v>9</v>
      </c>
      <c r="K16" s="3">
        <v>128</v>
      </c>
      <c r="O16" s="2"/>
      <c r="P16" s="3" t="s">
        <v>9</v>
      </c>
      <c r="Q16" s="3">
        <v>128</v>
      </c>
      <c r="U16" s="2"/>
      <c r="V16" s="3" t="s">
        <v>9</v>
      </c>
      <c r="W16" s="3">
        <v>128</v>
      </c>
    </row>
    <row r="17" customFormat="1" spans="1:23">
      <c r="A17" s="1"/>
      <c r="B17" s="2"/>
      <c r="C17" s="2"/>
      <c r="D17" s="3" t="s">
        <v>15</v>
      </c>
      <c r="E17" s="3">
        <v>64</v>
      </c>
      <c r="I17" s="2"/>
      <c r="J17" s="3" t="s">
        <v>15</v>
      </c>
      <c r="K17" s="3">
        <v>64</v>
      </c>
      <c r="O17" s="2"/>
      <c r="P17" s="3" t="s">
        <v>15</v>
      </c>
      <c r="Q17" s="3">
        <v>64</v>
      </c>
      <c r="U17" s="2"/>
      <c r="V17" s="3" t="s">
        <v>15</v>
      </c>
      <c r="W17" s="3">
        <v>64</v>
      </c>
    </row>
    <row r="18" customFormat="1" spans="1:23">
      <c r="A18" s="1"/>
      <c r="B18" s="2"/>
      <c r="C18" s="2"/>
      <c r="D18" s="3" t="s">
        <v>34</v>
      </c>
      <c r="E18" s="3">
        <v>64</v>
      </c>
      <c r="I18" s="2"/>
      <c r="J18" s="3" t="s">
        <v>34</v>
      </c>
      <c r="K18" s="3">
        <v>64</v>
      </c>
      <c r="O18" s="2"/>
      <c r="P18" s="3" t="s">
        <v>34</v>
      </c>
      <c r="Q18" s="3">
        <v>64</v>
      </c>
      <c r="U18" s="2"/>
      <c r="V18" s="3" t="s">
        <v>34</v>
      </c>
      <c r="W18" s="3">
        <v>64</v>
      </c>
    </row>
    <row r="19" customFormat="1" spans="1:23">
      <c r="A19" s="1"/>
      <c r="B19" s="2"/>
      <c r="C19" s="2"/>
      <c r="D19" s="3" t="s">
        <v>6</v>
      </c>
      <c r="E19" s="3">
        <v>3</v>
      </c>
      <c r="I19" s="2"/>
      <c r="J19" s="3" t="s">
        <v>6</v>
      </c>
      <c r="K19" s="3">
        <v>3</v>
      </c>
      <c r="O19" s="2"/>
      <c r="P19" s="3" t="s">
        <v>6</v>
      </c>
      <c r="Q19" s="3">
        <v>3</v>
      </c>
      <c r="U19" s="2"/>
      <c r="V19" s="3" t="s">
        <v>6</v>
      </c>
      <c r="W19" s="3">
        <v>3</v>
      </c>
    </row>
    <row r="20" customFormat="1" spans="1:23">
      <c r="A20" s="1"/>
      <c r="B20" s="2"/>
      <c r="C20" s="2"/>
      <c r="D20" s="3" t="s">
        <v>7</v>
      </c>
      <c r="E20" s="3">
        <v>3</v>
      </c>
      <c r="I20" s="2"/>
      <c r="J20" s="3" t="s">
        <v>7</v>
      </c>
      <c r="K20" s="3">
        <v>3</v>
      </c>
      <c r="O20" s="2"/>
      <c r="P20" s="3" t="s">
        <v>7</v>
      </c>
      <c r="Q20" s="3">
        <v>3</v>
      </c>
      <c r="U20" s="2"/>
      <c r="V20" s="3" t="s">
        <v>7</v>
      </c>
      <c r="W20" s="3">
        <v>3</v>
      </c>
    </row>
    <row r="21" customFormat="1" spans="1:23">
      <c r="A21" s="1"/>
      <c r="B21" s="2"/>
      <c r="C21" s="2" t="s">
        <v>16</v>
      </c>
      <c r="D21" s="3"/>
      <c r="E21" s="3"/>
      <c r="I21" s="2" t="s">
        <v>16</v>
      </c>
      <c r="J21" s="3"/>
      <c r="K21" s="3"/>
      <c r="O21" s="2" t="s">
        <v>16</v>
      </c>
      <c r="P21" s="3"/>
      <c r="Q21" s="3"/>
      <c r="U21" s="2" t="s">
        <v>16</v>
      </c>
      <c r="V21" s="3"/>
      <c r="W21" s="3"/>
    </row>
    <row r="22" customFormat="1" spans="1:24">
      <c r="A22" s="1"/>
      <c r="B22" s="2"/>
      <c r="C22" s="2"/>
      <c r="D22" s="3" t="s">
        <v>11</v>
      </c>
      <c r="E22" s="3">
        <v>128</v>
      </c>
      <c r="F22">
        <f>PRODUCT(E22:E24)</f>
        <v>1048576</v>
      </c>
      <c r="I22" s="2"/>
      <c r="J22" s="3" t="s">
        <v>11</v>
      </c>
      <c r="K22" s="3">
        <v>128</v>
      </c>
      <c r="L22">
        <f>PRODUCT(K22:K24)</f>
        <v>1048576</v>
      </c>
      <c r="O22" s="2"/>
      <c r="P22" s="3" t="s">
        <v>11</v>
      </c>
      <c r="Q22" s="3">
        <v>128</v>
      </c>
      <c r="R22">
        <f>PRODUCT(Q22:Q24)</f>
        <v>1048576</v>
      </c>
      <c r="U22" s="2"/>
      <c r="V22" s="3" t="s">
        <v>11</v>
      </c>
      <c r="W22" s="3">
        <v>128</v>
      </c>
      <c r="X22">
        <f>PRODUCT(W22:W24)</f>
        <v>1048576</v>
      </c>
    </row>
    <row r="23" customFormat="1" spans="1:23">
      <c r="A23" s="1"/>
      <c r="B23" s="2"/>
      <c r="C23" s="2"/>
      <c r="D23" s="3" t="s">
        <v>12</v>
      </c>
      <c r="E23" s="3">
        <v>128</v>
      </c>
      <c r="I23" s="2"/>
      <c r="J23" s="3" t="s">
        <v>12</v>
      </c>
      <c r="K23" s="3">
        <v>128</v>
      </c>
      <c r="O23" s="2"/>
      <c r="P23" s="3" t="s">
        <v>12</v>
      </c>
      <c r="Q23" s="3">
        <v>128</v>
      </c>
      <c r="U23" s="2"/>
      <c r="V23" s="3" t="s">
        <v>12</v>
      </c>
      <c r="W23" s="3">
        <v>128</v>
      </c>
    </row>
    <row r="24" customFormat="1" spans="1:23">
      <c r="A24" s="1"/>
      <c r="B24" s="2"/>
      <c r="C24" s="2"/>
      <c r="D24" s="3" t="s">
        <v>13</v>
      </c>
      <c r="E24" s="3">
        <v>64</v>
      </c>
      <c r="I24" s="2"/>
      <c r="J24" s="3" t="s">
        <v>13</v>
      </c>
      <c r="K24" s="3">
        <v>64</v>
      </c>
      <c r="O24" s="2"/>
      <c r="P24" s="3" t="s">
        <v>13</v>
      </c>
      <c r="Q24" s="3">
        <v>64</v>
      </c>
      <c r="U24" s="2"/>
      <c r="V24" s="3" t="s">
        <v>13</v>
      </c>
      <c r="W24" s="3">
        <v>64</v>
      </c>
    </row>
    <row r="25" customFormat="1" spans="1:24">
      <c r="A25" s="1"/>
      <c r="B25" s="2"/>
      <c r="C25" s="3"/>
      <c r="D25" s="3"/>
      <c r="E25" s="3"/>
      <c r="F25" s="4">
        <f>SUM(F4,F11,F15,F22)</f>
        <v>1266679808</v>
      </c>
      <c r="I25" s="3"/>
      <c r="J25" s="3"/>
      <c r="K25" s="3"/>
      <c r="L25" s="4">
        <f>SUM(L4,L11,L15,L22)</f>
        <v>4833935360</v>
      </c>
      <c r="O25" s="3"/>
      <c r="P25" s="3"/>
      <c r="Q25" s="3"/>
      <c r="R25" s="4">
        <f>SUM(R4,R11,R15,R22)</f>
        <v>6041894912</v>
      </c>
      <c r="U25" s="3"/>
      <c r="V25" s="3"/>
      <c r="W25" s="3"/>
      <c r="X25" s="4">
        <f>SUM(X4,X11,X15,X22)</f>
        <v>7249854464</v>
      </c>
    </row>
    <row r="26" customFormat="1" spans="1:1">
      <c r="A26" s="1"/>
    </row>
    <row r="27" customFormat="1" spans="1:1">
      <c r="A27" s="1"/>
    </row>
    <row r="28" customFormat="1" spans="1:17">
      <c r="A28" s="1"/>
      <c r="B28" s="2" t="s">
        <v>42</v>
      </c>
      <c r="C28" s="3"/>
      <c r="D28" s="3" t="s">
        <v>18</v>
      </c>
      <c r="E28" s="3"/>
      <c r="I28" s="3"/>
      <c r="J28" s="3" t="s">
        <v>18</v>
      </c>
      <c r="K28" s="3"/>
      <c r="O28" s="3"/>
      <c r="P28" s="3" t="s">
        <v>18</v>
      </c>
      <c r="Q28" s="3"/>
    </row>
    <row r="29" customFormat="1" spans="1:17">
      <c r="A29" s="1"/>
      <c r="B29" s="2"/>
      <c r="C29" s="2" t="s">
        <v>33</v>
      </c>
      <c r="D29" s="3"/>
      <c r="E29" s="3"/>
      <c r="I29" s="2" t="s">
        <v>33</v>
      </c>
      <c r="J29" s="3"/>
      <c r="K29" s="3"/>
      <c r="O29" s="2" t="s">
        <v>33</v>
      </c>
      <c r="P29" s="3"/>
      <c r="Q29" s="3"/>
    </row>
    <row r="30" customFormat="1" spans="1:18">
      <c r="A30" s="1"/>
      <c r="B30" s="2"/>
      <c r="C30" s="2"/>
      <c r="D30" s="3" t="s">
        <v>8</v>
      </c>
      <c r="E30" s="3">
        <v>64</v>
      </c>
      <c r="F30">
        <f>2*PRODUCT(E30:E35)</f>
        <v>603979776</v>
      </c>
      <c r="I30" s="2"/>
      <c r="J30" s="3" t="s">
        <v>8</v>
      </c>
      <c r="K30" s="3">
        <v>64</v>
      </c>
      <c r="L30">
        <f>2*PRODUCT(K30:K35)</f>
        <v>3623878656</v>
      </c>
      <c r="O30" s="2"/>
      <c r="P30" s="3" t="s">
        <v>8</v>
      </c>
      <c r="Q30" s="3">
        <v>64</v>
      </c>
      <c r="R30">
        <f>2*PRODUCT(Q30:Q35)</f>
        <v>4831838208</v>
      </c>
    </row>
    <row r="31" customFormat="1" spans="1:17">
      <c r="A31" s="1"/>
      <c r="B31" s="2"/>
      <c r="C31" s="2"/>
      <c r="D31" s="3" t="s">
        <v>9</v>
      </c>
      <c r="E31" s="3">
        <v>64</v>
      </c>
      <c r="I31" s="2"/>
      <c r="J31" s="3" t="s">
        <v>9</v>
      </c>
      <c r="K31" s="3">
        <v>64</v>
      </c>
      <c r="O31" s="2"/>
      <c r="P31" s="3" t="s">
        <v>9</v>
      </c>
      <c r="Q31" s="3">
        <v>64</v>
      </c>
    </row>
    <row r="32" customFormat="1" spans="1:17">
      <c r="A32" s="1"/>
      <c r="B32" s="2"/>
      <c r="C32" s="2"/>
      <c r="D32" s="3" t="s">
        <v>15</v>
      </c>
      <c r="E32" s="3">
        <v>128</v>
      </c>
      <c r="I32" s="2"/>
      <c r="J32" s="3" t="s">
        <v>15</v>
      </c>
      <c r="K32" s="3">
        <v>128</v>
      </c>
      <c r="O32" s="2"/>
      <c r="P32" s="3" t="s">
        <v>15</v>
      </c>
      <c r="Q32" s="3">
        <v>128</v>
      </c>
    </row>
    <row r="33" customFormat="1" spans="1:17">
      <c r="A33" s="1"/>
      <c r="B33" s="2"/>
      <c r="C33" s="2"/>
      <c r="D33" s="3" t="s">
        <v>34</v>
      </c>
      <c r="E33" s="3">
        <v>64</v>
      </c>
      <c r="I33" s="2"/>
      <c r="J33" s="3" t="s">
        <v>34</v>
      </c>
      <c r="K33" s="5">
        <v>384</v>
      </c>
      <c r="O33" s="2"/>
      <c r="P33" s="3" t="s">
        <v>34</v>
      </c>
      <c r="Q33" s="5">
        <v>512</v>
      </c>
    </row>
    <row r="34" customFormat="1" spans="1:17">
      <c r="A34" s="1"/>
      <c r="B34" s="2"/>
      <c r="C34" s="2"/>
      <c r="D34" s="3" t="s">
        <v>6</v>
      </c>
      <c r="E34" s="3">
        <v>3</v>
      </c>
      <c r="I34" s="2"/>
      <c r="J34" s="3" t="s">
        <v>6</v>
      </c>
      <c r="K34" s="3">
        <v>3</v>
      </c>
      <c r="O34" s="2"/>
      <c r="P34" s="3" t="s">
        <v>6</v>
      </c>
      <c r="Q34" s="3">
        <v>3</v>
      </c>
    </row>
    <row r="35" customFormat="1" spans="1:17">
      <c r="A35" s="1"/>
      <c r="B35" s="2"/>
      <c r="C35" s="2"/>
      <c r="D35" s="3" t="s">
        <v>7</v>
      </c>
      <c r="E35" s="3">
        <v>3</v>
      </c>
      <c r="I35" s="2"/>
      <c r="J35" s="3" t="s">
        <v>7</v>
      </c>
      <c r="K35" s="3">
        <v>3</v>
      </c>
      <c r="O35" s="2"/>
      <c r="P35" s="3" t="s">
        <v>7</v>
      </c>
      <c r="Q35" s="3">
        <v>3</v>
      </c>
    </row>
    <row r="36" customFormat="1" spans="1:17">
      <c r="A36" s="1"/>
      <c r="B36" s="2"/>
      <c r="C36" s="2" t="s">
        <v>16</v>
      </c>
      <c r="D36" s="3"/>
      <c r="E36" s="3"/>
      <c r="I36" s="2" t="s">
        <v>16</v>
      </c>
      <c r="J36" s="3"/>
      <c r="K36" s="3"/>
      <c r="O36" s="2" t="s">
        <v>16</v>
      </c>
      <c r="P36" s="3"/>
      <c r="Q36" s="3"/>
    </row>
    <row r="37" customFormat="1" spans="1:18">
      <c r="A37" s="1"/>
      <c r="B37" s="2"/>
      <c r="C37" s="2"/>
      <c r="D37" s="3" t="s">
        <v>11</v>
      </c>
      <c r="E37" s="3">
        <v>64</v>
      </c>
      <c r="F37">
        <f>PRODUCT(E37:E39)</f>
        <v>524288</v>
      </c>
      <c r="I37" s="2"/>
      <c r="J37" s="3" t="s">
        <v>11</v>
      </c>
      <c r="K37" s="3">
        <v>64</v>
      </c>
      <c r="L37">
        <f>PRODUCT(K37:K39)</f>
        <v>524288</v>
      </c>
      <c r="O37" s="2"/>
      <c r="P37" s="3" t="s">
        <v>11</v>
      </c>
      <c r="Q37" s="3">
        <v>64</v>
      </c>
      <c r="R37">
        <f>PRODUCT(Q37:Q39)</f>
        <v>524288</v>
      </c>
    </row>
    <row r="38" customFormat="1" spans="1:17">
      <c r="A38" s="1"/>
      <c r="B38" s="2"/>
      <c r="C38" s="2"/>
      <c r="D38" s="3" t="s">
        <v>12</v>
      </c>
      <c r="E38" s="3">
        <v>64</v>
      </c>
      <c r="I38" s="2"/>
      <c r="J38" s="3" t="s">
        <v>12</v>
      </c>
      <c r="K38" s="3">
        <v>64</v>
      </c>
      <c r="O38" s="2"/>
      <c r="P38" s="3" t="s">
        <v>12</v>
      </c>
      <c r="Q38" s="3">
        <v>64</v>
      </c>
    </row>
    <row r="39" customFormat="1" spans="1:17">
      <c r="A39" s="1"/>
      <c r="B39" s="2"/>
      <c r="C39" s="2"/>
      <c r="D39" s="3" t="s">
        <v>13</v>
      </c>
      <c r="E39" s="3">
        <v>128</v>
      </c>
      <c r="I39" s="2"/>
      <c r="J39" s="3" t="s">
        <v>13</v>
      </c>
      <c r="K39" s="3">
        <v>128</v>
      </c>
      <c r="O39" s="2"/>
      <c r="P39" s="3" t="s">
        <v>13</v>
      </c>
      <c r="Q39" s="3">
        <v>128</v>
      </c>
    </row>
    <row r="40" customFormat="1" spans="1:17">
      <c r="A40" s="1"/>
      <c r="B40" s="2"/>
      <c r="C40" s="2" t="s">
        <v>33</v>
      </c>
      <c r="D40" s="3"/>
      <c r="E40" s="3"/>
      <c r="I40" s="2" t="s">
        <v>33</v>
      </c>
      <c r="J40" s="3"/>
      <c r="K40" s="3"/>
      <c r="O40" s="2" t="s">
        <v>33</v>
      </c>
      <c r="P40" s="3"/>
      <c r="Q40" s="3"/>
    </row>
    <row r="41" customFormat="1" spans="1:18">
      <c r="A41" s="1"/>
      <c r="B41" s="2"/>
      <c r="C41" s="2"/>
      <c r="D41" s="3" t="s">
        <v>8</v>
      </c>
      <c r="E41" s="3">
        <v>64</v>
      </c>
      <c r="F41">
        <f>2*PRODUCT(E41:E46)</f>
        <v>1207959552</v>
      </c>
      <c r="I41" s="2"/>
      <c r="J41" s="3" t="s">
        <v>8</v>
      </c>
      <c r="K41" s="3">
        <v>64</v>
      </c>
      <c r="L41">
        <f>2*PRODUCT(K41:K46)</f>
        <v>1207959552</v>
      </c>
      <c r="O41" s="2"/>
      <c r="P41" s="3" t="s">
        <v>8</v>
      </c>
      <c r="Q41" s="3">
        <v>64</v>
      </c>
      <c r="R41">
        <f>2*PRODUCT(Q41:Q46)</f>
        <v>1207959552</v>
      </c>
    </row>
    <row r="42" customFormat="1" spans="1:17">
      <c r="A42" s="1"/>
      <c r="B42" s="2"/>
      <c r="C42" s="2"/>
      <c r="D42" s="3" t="s">
        <v>9</v>
      </c>
      <c r="E42" s="3">
        <v>64</v>
      </c>
      <c r="I42" s="2"/>
      <c r="J42" s="3" t="s">
        <v>9</v>
      </c>
      <c r="K42" s="3">
        <v>64</v>
      </c>
      <c r="O42" s="2"/>
      <c r="P42" s="3" t="s">
        <v>9</v>
      </c>
      <c r="Q42" s="3">
        <v>64</v>
      </c>
    </row>
    <row r="43" customFormat="1" spans="1:17">
      <c r="A43" s="1"/>
      <c r="B43" s="2"/>
      <c r="C43" s="2"/>
      <c r="D43" s="3" t="s">
        <v>15</v>
      </c>
      <c r="E43" s="3">
        <v>128</v>
      </c>
      <c r="I43" s="2"/>
      <c r="J43" s="3" t="s">
        <v>15</v>
      </c>
      <c r="K43" s="3">
        <v>128</v>
      </c>
      <c r="O43" s="2"/>
      <c r="P43" s="3" t="s">
        <v>15</v>
      </c>
      <c r="Q43" s="3">
        <v>128</v>
      </c>
    </row>
    <row r="44" customFormat="1" spans="1:17">
      <c r="A44" s="1"/>
      <c r="B44" s="2"/>
      <c r="C44" s="2"/>
      <c r="D44" s="3" t="s">
        <v>34</v>
      </c>
      <c r="E44" s="3">
        <v>128</v>
      </c>
      <c r="I44" s="2"/>
      <c r="J44" s="3" t="s">
        <v>34</v>
      </c>
      <c r="K44" s="3">
        <v>128</v>
      </c>
      <c r="O44" s="2"/>
      <c r="P44" s="3" t="s">
        <v>34</v>
      </c>
      <c r="Q44" s="3">
        <v>128</v>
      </c>
    </row>
    <row r="45" customFormat="1" spans="1:17">
      <c r="A45" s="1"/>
      <c r="B45" s="2"/>
      <c r="C45" s="2"/>
      <c r="D45" s="3" t="s">
        <v>6</v>
      </c>
      <c r="E45" s="3">
        <v>3</v>
      </c>
      <c r="I45" s="2"/>
      <c r="J45" s="3" t="s">
        <v>6</v>
      </c>
      <c r="K45" s="3">
        <v>3</v>
      </c>
      <c r="O45" s="2"/>
      <c r="P45" s="3" t="s">
        <v>6</v>
      </c>
      <c r="Q45" s="3">
        <v>3</v>
      </c>
    </row>
    <row r="46" customFormat="1" spans="1:17">
      <c r="A46" s="1"/>
      <c r="B46" s="2"/>
      <c r="C46" s="2"/>
      <c r="D46" s="3" t="s">
        <v>7</v>
      </c>
      <c r="E46" s="3">
        <v>3</v>
      </c>
      <c r="I46" s="2"/>
      <c r="J46" s="3" t="s">
        <v>7</v>
      </c>
      <c r="K46" s="3">
        <v>3</v>
      </c>
      <c r="O46" s="2"/>
      <c r="P46" s="3" t="s">
        <v>7</v>
      </c>
      <c r="Q46" s="3">
        <v>3</v>
      </c>
    </row>
    <row r="47" customFormat="1" spans="1:17">
      <c r="A47" s="1"/>
      <c r="B47" s="2"/>
      <c r="C47" s="2" t="s">
        <v>16</v>
      </c>
      <c r="D47" s="3"/>
      <c r="E47" s="3"/>
      <c r="I47" s="2" t="s">
        <v>16</v>
      </c>
      <c r="J47" s="3"/>
      <c r="K47" s="3"/>
      <c r="O47" s="2" t="s">
        <v>16</v>
      </c>
      <c r="P47" s="3"/>
      <c r="Q47" s="3"/>
    </row>
    <row r="48" customFormat="1" spans="1:18">
      <c r="A48" s="1"/>
      <c r="B48" s="2"/>
      <c r="C48" s="2"/>
      <c r="D48" s="3" t="s">
        <v>11</v>
      </c>
      <c r="E48" s="3">
        <v>64</v>
      </c>
      <c r="F48">
        <f>PRODUCT(E48:E50)</f>
        <v>524288</v>
      </c>
      <c r="I48" s="2"/>
      <c r="J48" s="3" t="s">
        <v>11</v>
      </c>
      <c r="K48" s="3">
        <v>64</v>
      </c>
      <c r="L48">
        <f>PRODUCT(K48:K50)</f>
        <v>524288</v>
      </c>
      <c r="O48" s="2"/>
      <c r="P48" s="3" t="s">
        <v>11</v>
      </c>
      <c r="Q48" s="3">
        <v>64</v>
      </c>
      <c r="R48">
        <f>PRODUCT(Q48:Q50)</f>
        <v>524288</v>
      </c>
    </row>
    <row r="49" customFormat="1" spans="1:17">
      <c r="A49" s="1"/>
      <c r="B49" s="2"/>
      <c r="C49" s="2"/>
      <c r="D49" s="3" t="s">
        <v>12</v>
      </c>
      <c r="E49" s="3">
        <v>64</v>
      </c>
      <c r="I49" s="2"/>
      <c r="J49" s="3" t="s">
        <v>12</v>
      </c>
      <c r="K49" s="3">
        <v>64</v>
      </c>
      <c r="O49" s="2"/>
      <c r="P49" s="3" t="s">
        <v>12</v>
      </c>
      <c r="Q49" s="3">
        <v>64</v>
      </c>
    </row>
    <row r="50" customFormat="1" spans="1:17">
      <c r="A50" s="1"/>
      <c r="B50" s="2"/>
      <c r="C50" s="2"/>
      <c r="D50" s="3" t="s">
        <v>13</v>
      </c>
      <c r="E50" s="3">
        <v>128</v>
      </c>
      <c r="I50" s="2"/>
      <c r="J50" s="3" t="s">
        <v>13</v>
      </c>
      <c r="K50" s="3">
        <v>128</v>
      </c>
      <c r="O50" s="2"/>
      <c r="P50" s="3" t="s">
        <v>13</v>
      </c>
      <c r="Q50" s="3">
        <v>128</v>
      </c>
    </row>
    <row r="51" customFormat="1" spans="1:18">
      <c r="A51" s="1"/>
      <c r="B51" s="2"/>
      <c r="C51" s="3"/>
      <c r="D51" s="3"/>
      <c r="E51" s="3"/>
      <c r="F51" s="4">
        <f>SUM(F30,F37,F41,F48)</f>
        <v>1812987904</v>
      </c>
      <c r="I51" s="3"/>
      <c r="J51" s="3"/>
      <c r="K51" s="3"/>
      <c r="L51" s="4">
        <f>SUM(L30,L37,L41,L48)</f>
        <v>4832886784</v>
      </c>
      <c r="O51" s="3"/>
      <c r="P51" s="3"/>
      <c r="Q51" s="3"/>
      <c r="R51" s="4">
        <f>SUM(R30,R37,R41,R48)</f>
        <v>6040846336</v>
      </c>
    </row>
    <row r="52" customFormat="1" spans="1:1">
      <c r="A52" s="1"/>
    </row>
    <row r="53" customFormat="1" spans="1:1">
      <c r="A53" s="1"/>
    </row>
    <row r="54" customFormat="1" spans="1:11">
      <c r="A54" s="1"/>
      <c r="B54" s="2" t="s">
        <v>43</v>
      </c>
      <c r="C54" s="3"/>
      <c r="D54" s="3" t="s">
        <v>21</v>
      </c>
      <c r="E54" s="3"/>
      <c r="I54" s="3"/>
      <c r="J54" s="3" t="s">
        <v>21</v>
      </c>
      <c r="K54" s="3"/>
    </row>
    <row r="55" customFormat="1" spans="1:11">
      <c r="A55" s="1"/>
      <c r="B55" s="2"/>
      <c r="C55" s="2" t="s">
        <v>44</v>
      </c>
      <c r="D55" s="3"/>
      <c r="E55" s="3"/>
      <c r="I55" s="2" t="s">
        <v>44</v>
      </c>
      <c r="J55" s="3"/>
      <c r="K55" s="3"/>
    </row>
    <row r="56" customFormat="1" spans="1:12">
      <c r="A56" s="1"/>
      <c r="B56" s="2"/>
      <c r="C56" s="2"/>
      <c r="D56" s="3" t="s">
        <v>8</v>
      </c>
      <c r="E56" s="3">
        <v>32</v>
      </c>
      <c r="F56">
        <f>2*PRODUCT(E56:E61)</f>
        <v>603979776</v>
      </c>
      <c r="I56" s="2"/>
      <c r="J56" s="3" t="s">
        <v>8</v>
      </c>
      <c r="K56" s="3">
        <v>32</v>
      </c>
      <c r="L56">
        <f>2*PRODUCT(K56:K61)</f>
        <v>3623878656</v>
      </c>
    </row>
    <row r="57" customFormat="1" spans="1:11">
      <c r="A57" s="1"/>
      <c r="B57" s="2"/>
      <c r="C57" s="2"/>
      <c r="D57" s="3" t="s">
        <v>9</v>
      </c>
      <c r="E57" s="3">
        <v>32</v>
      </c>
      <c r="I57" s="2"/>
      <c r="J57" s="3" t="s">
        <v>9</v>
      </c>
      <c r="K57" s="3">
        <v>32</v>
      </c>
    </row>
    <row r="58" customFormat="1" spans="1:11">
      <c r="A58" s="1"/>
      <c r="B58" s="2"/>
      <c r="C58" s="2"/>
      <c r="D58" s="3" t="s">
        <v>15</v>
      </c>
      <c r="E58" s="3">
        <v>256</v>
      </c>
      <c r="I58" s="2"/>
      <c r="J58" s="3" t="s">
        <v>15</v>
      </c>
      <c r="K58" s="3">
        <v>256</v>
      </c>
    </row>
    <row r="59" customFormat="1" spans="1:11">
      <c r="A59" s="1"/>
      <c r="B59" s="2"/>
      <c r="C59" s="2"/>
      <c r="D59" s="3" t="s">
        <v>34</v>
      </c>
      <c r="E59" s="3">
        <v>128</v>
      </c>
      <c r="I59" s="2"/>
      <c r="J59" s="3" t="s">
        <v>34</v>
      </c>
      <c r="K59" s="5">
        <v>768</v>
      </c>
    </row>
    <row r="60" customFormat="1" spans="1:11">
      <c r="A60" s="1"/>
      <c r="B60" s="2"/>
      <c r="C60" s="2"/>
      <c r="D60" s="3" t="s">
        <v>6</v>
      </c>
      <c r="E60" s="3">
        <v>3</v>
      </c>
      <c r="I60" s="2"/>
      <c r="J60" s="3" t="s">
        <v>6</v>
      </c>
      <c r="K60" s="3">
        <v>3</v>
      </c>
    </row>
    <row r="61" customFormat="1" spans="1:11">
      <c r="A61" s="1"/>
      <c r="B61" s="2"/>
      <c r="C61" s="2"/>
      <c r="D61" s="3" t="s">
        <v>7</v>
      </c>
      <c r="E61" s="3">
        <v>3</v>
      </c>
      <c r="I61" s="2"/>
      <c r="J61" s="3" t="s">
        <v>7</v>
      </c>
      <c r="K61" s="3">
        <v>3</v>
      </c>
    </row>
    <row r="62" customFormat="1" spans="1:11">
      <c r="A62" s="1"/>
      <c r="B62" s="2"/>
      <c r="C62" s="2" t="s">
        <v>16</v>
      </c>
      <c r="D62" s="3"/>
      <c r="E62" s="3"/>
      <c r="I62" s="2" t="s">
        <v>16</v>
      </c>
      <c r="J62" s="3"/>
      <c r="K62" s="3"/>
    </row>
    <row r="63" customFormat="1" spans="1:12">
      <c r="A63" s="1"/>
      <c r="B63" s="2"/>
      <c r="C63" s="2"/>
      <c r="D63" s="3" t="s">
        <v>11</v>
      </c>
      <c r="E63" s="3">
        <v>32</v>
      </c>
      <c r="F63">
        <f>PRODUCT(E63:E65)</f>
        <v>262144</v>
      </c>
      <c r="I63" s="2"/>
      <c r="J63" s="3" t="s">
        <v>11</v>
      </c>
      <c r="K63" s="3">
        <v>32</v>
      </c>
      <c r="L63">
        <f>PRODUCT(K63:K65)</f>
        <v>262144</v>
      </c>
    </row>
    <row r="64" customFormat="1" spans="1:11">
      <c r="A64" s="1"/>
      <c r="B64" s="2"/>
      <c r="C64" s="2"/>
      <c r="D64" s="3" t="s">
        <v>12</v>
      </c>
      <c r="E64" s="3">
        <v>32</v>
      </c>
      <c r="I64" s="2"/>
      <c r="J64" s="3" t="s">
        <v>12</v>
      </c>
      <c r="K64" s="3">
        <v>32</v>
      </c>
    </row>
    <row r="65" customFormat="1" spans="1:11">
      <c r="A65" s="1"/>
      <c r="B65" s="2"/>
      <c r="C65" s="2"/>
      <c r="D65" s="3" t="s">
        <v>13</v>
      </c>
      <c r="E65" s="3">
        <v>256</v>
      </c>
      <c r="I65" s="2"/>
      <c r="J65" s="3" t="s">
        <v>13</v>
      </c>
      <c r="K65" s="3">
        <v>256</v>
      </c>
    </row>
    <row r="66" customFormat="1" spans="1:11">
      <c r="A66" s="1"/>
      <c r="B66" s="2"/>
      <c r="C66" s="2" t="s">
        <v>44</v>
      </c>
      <c r="D66" s="3"/>
      <c r="E66" s="3"/>
      <c r="I66" s="2" t="s">
        <v>44</v>
      </c>
      <c r="J66" s="3"/>
      <c r="K66" s="3"/>
    </row>
    <row r="67" customFormat="1" spans="1:12">
      <c r="A67" s="1"/>
      <c r="B67" s="2"/>
      <c r="C67" s="2"/>
      <c r="D67" s="3" t="s">
        <v>8</v>
      </c>
      <c r="E67" s="3">
        <v>32</v>
      </c>
      <c r="F67">
        <f>2*PRODUCT(E67:E72)</f>
        <v>1207959552</v>
      </c>
      <c r="I67" s="2"/>
      <c r="J67" s="3" t="s">
        <v>8</v>
      </c>
      <c r="K67" s="3">
        <v>32</v>
      </c>
      <c r="L67">
        <f>2*PRODUCT(K67:K72)</f>
        <v>1207959552</v>
      </c>
    </row>
    <row r="68" customFormat="1" spans="1:11">
      <c r="A68" s="1"/>
      <c r="B68" s="2"/>
      <c r="C68" s="2"/>
      <c r="D68" s="3" t="s">
        <v>9</v>
      </c>
      <c r="E68" s="3">
        <v>32</v>
      </c>
      <c r="I68" s="2"/>
      <c r="J68" s="3" t="s">
        <v>9</v>
      </c>
      <c r="K68" s="3">
        <v>32</v>
      </c>
    </row>
    <row r="69" customFormat="1" spans="1:11">
      <c r="A69" s="1"/>
      <c r="B69" s="2"/>
      <c r="C69" s="2"/>
      <c r="D69" s="3" t="s">
        <v>15</v>
      </c>
      <c r="E69" s="3">
        <v>256</v>
      </c>
      <c r="I69" s="2"/>
      <c r="J69" s="3" t="s">
        <v>15</v>
      </c>
      <c r="K69" s="3">
        <v>256</v>
      </c>
    </row>
    <row r="70" customFormat="1" spans="1:11">
      <c r="A70" s="1"/>
      <c r="B70" s="2"/>
      <c r="C70" s="2"/>
      <c r="D70" s="3" t="s">
        <v>34</v>
      </c>
      <c r="E70" s="3">
        <v>256</v>
      </c>
      <c r="I70" s="2"/>
      <c r="J70" s="3" t="s">
        <v>34</v>
      </c>
      <c r="K70" s="3">
        <v>256</v>
      </c>
    </row>
    <row r="71" customFormat="1" spans="1:11">
      <c r="A71" s="1"/>
      <c r="B71" s="2"/>
      <c r="C71" s="2"/>
      <c r="D71" s="3" t="s">
        <v>6</v>
      </c>
      <c r="E71" s="3">
        <v>3</v>
      </c>
      <c r="I71" s="2"/>
      <c r="J71" s="3" t="s">
        <v>6</v>
      </c>
      <c r="K71" s="3">
        <v>3</v>
      </c>
    </row>
    <row r="72" customFormat="1" spans="1:11">
      <c r="A72" s="1"/>
      <c r="B72" s="2"/>
      <c r="C72" s="2"/>
      <c r="D72" s="3" t="s">
        <v>7</v>
      </c>
      <c r="E72" s="3">
        <v>3</v>
      </c>
      <c r="I72" s="2"/>
      <c r="J72" s="3" t="s">
        <v>7</v>
      </c>
      <c r="K72" s="3">
        <v>3</v>
      </c>
    </row>
    <row r="73" customFormat="1" spans="1:11">
      <c r="A73" s="1"/>
      <c r="B73" s="2"/>
      <c r="C73" s="2" t="s">
        <v>16</v>
      </c>
      <c r="D73" s="3"/>
      <c r="E73" s="3"/>
      <c r="I73" s="2" t="s">
        <v>16</v>
      </c>
      <c r="J73" s="3"/>
      <c r="K73" s="3"/>
    </row>
    <row r="74" customFormat="1" spans="1:12">
      <c r="A74" s="1"/>
      <c r="B74" s="2"/>
      <c r="C74" s="2"/>
      <c r="D74" s="3" t="s">
        <v>11</v>
      </c>
      <c r="E74" s="3">
        <v>32</v>
      </c>
      <c r="F74">
        <f>PRODUCT(E74:E76)</f>
        <v>262144</v>
      </c>
      <c r="I74" s="2"/>
      <c r="J74" s="3" t="s">
        <v>11</v>
      </c>
      <c r="K74" s="3">
        <v>32</v>
      </c>
      <c r="L74">
        <f>PRODUCT(K74:K76)</f>
        <v>262144</v>
      </c>
    </row>
    <row r="75" customFormat="1" spans="1:11">
      <c r="A75" s="1"/>
      <c r="B75" s="2"/>
      <c r="C75" s="2"/>
      <c r="D75" s="3" t="s">
        <v>12</v>
      </c>
      <c r="E75" s="3">
        <v>32</v>
      </c>
      <c r="I75" s="2"/>
      <c r="J75" s="3" t="s">
        <v>12</v>
      </c>
      <c r="K75" s="3">
        <v>32</v>
      </c>
    </row>
    <row r="76" customFormat="1" spans="1:11">
      <c r="A76" s="1"/>
      <c r="B76" s="2"/>
      <c r="C76" s="2"/>
      <c r="D76" s="3" t="s">
        <v>13</v>
      </c>
      <c r="E76" s="3">
        <v>256</v>
      </c>
      <c r="I76" s="2"/>
      <c r="J76" s="3" t="s">
        <v>13</v>
      </c>
      <c r="K76" s="3">
        <v>256</v>
      </c>
    </row>
    <row r="77" customFormat="1" spans="1:12">
      <c r="A77" s="1"/>
      <c r="B77" s="2"/>
      <c r="C77" s="3"/>
      <c r="D77" s="3"/>
      <c r="E77" s="3"/>
      <c r="F77" s="4">
        <f>SUM(F56,F63,F67,F74)</f>
        <v>1812463616</v>
      </c>
      <c r="I77" s="3"/>
      <c r="J77" s="3"/>
      <c r="K77" s="3"/>
      <c r="L77" s="4">
        <f>SUM(L56,L63,L67,L74)</f>
        <v>4832362496</v>
      </c>
    </row>
    <row r="78" customFormat="1" spans="1:1">
      <c r="A78" s="1"/>
    </row>
    <row r="79" customFormat="1" spans="1:1">
      <c r="A79" s="1"/>
    </row>
    <row r="80" customFormat="1" spans="1:5">
      <c r="A80" s="1"/>
      <c r="B80" s="2" t="s">
        <v>45</v>
      </c>
      <c r="C80" s="3"/>
      <c r="D80" s="3" t="s">
        <v>24</v>
      </c>
      <c r="E80" s="3"/>
    </row>
    <row r="81" customFormat="1" spans="1:5">
      <c r="A81" s="1"/>
      <c r="B81" s="2"/>
      <c r="C81" s="2" t="s">
        <v>46</v>
      </c>
      <c r="D81" s="3"/>
      <c r="E81" s="3"/>
    </row>
    <row r="82" customFormat="1" spans="1:6">
      <c r="A82" s="1"/>
      <c r="B82" s="2"/>
      <c r="C82" s="2"/>
      <c r="D82" s="3" t="s">
        <v>8</v>
      </c>
      <c r="E82" s="3">
        <v>16</v>
      </c>
      <c r="F82">
        <f>2*PRODUCT(E82:E87)</f>
        <v>603979776</v>
      </c>
    </row>
    <row r="83" customFormat="1" spans="1:5">
      <c r="A83" s="1"/>
      <c r="B83" s="2"/>
      <c r="C83" s="2"/>
      <c r="D83" s="3" t="s">
        <v>9</v>
      </c>
      <c r="E83" s="3">
        <v>16</v>
      </c>
    </row>
    <row r="84" customFormat="1" spans="1:5">
      <c r="A84" s="1"/>
      <c r="B84" s="2"/>
      <c r="C84" s="2"/>
      <c r="D84" s="3" t="s">
        <v>15</v>
      </c>
      <c r="E84" s="3">
        <v>512</v>
      </c>
    </row>
    <row r="85" customFormat="1" spans="1:5">
      <c r="A85" s="1"/>
      <c r="B85" s="2"/>
      <c r="C85" s="2"/>
      <c r="D85" s="3" t="s">
        <v>34</v>
      </c>
      <c r="E85" s="3">
        <v>256</v>
      </c>
    </row>
    <row r="86" customFormat="1" spans="1:5">
      <c r="A86" s="1"/>
      <c r="B86" s="2"/>
      <c r="C86" s="2"/>
      <c r="D86" s="3" t="s">
        <v>6</v>
      </c>
      <c r="E86" s="3">
        <v>3</v>
      </c>
    </row>
    <row r="87" customFormat="1" spans="1:5">
      <c r="A87" s="1"/>
      <c r="B87" s="2"/>
      <c r="C87" s="2"/>
      <c r="D87" s="3" t="s">
        <v>7</v>
      </c>
      <c r="E87" s="3">
        <v>3</v>
      </c>
    </row>
    <row r="88" customFormat="1" spans="1:5">
      <c r="A88" s="1"/>
      <c r="B88" s="2"/>
      <c r="C88" s="2" t="s">
        <v>16</v>
      </c>
      <c r="D88" s="3"/>
      <c r="E88" s="3"/>
    </row>
    <row r="89" customFormat="1" spans="1:6">
      <c r="A89" s="1"/>
      <c r="B89" s="2"/>
      <c r="C89" s="2"/>
      <c r="D89" s="3" t="s">
        <v>11</v>
      </c>
      <c r="E89" s="3">
        <v>16</v>
      </c>
      <c r="F89">
        <f>PRODUCT(E89:E91)</f>
        <v>131072</v>
      </c>
    </row>
    <row r="90" customFormat="1" spans="1:5">
      <c r="A90" s="1"/>
      <c r="B90" s="2"/>
      <c r="C90" s="2"/>
      <c r="D90" s="3" t="s">
        <v>12</v>
      </c>
      <c r="E90" s="3">
        <v>16</v>
      </c>
    </row>
    <row r="91" customFormat="1" spans="1:5">
      <c r="A91" s="1"/>
      <c r="B91" s="2"/>
      <c r="C91" s="2"/>
      <c r="D91" s="3" t="s">
        <v>13</v>
      </c>
      <c r="E91" s="3">
        <v>512</v>
      </c>
    </row>
    <row r="92" customFormat="1" spans="1:5">
      <c r="A92" s="1"/>
      <c r="B92" s="2"/>
      <c r="C92" s="2" t="s">
        <v>46</v>
      </c>
      <c r="D92" s="3"/>
      <c r="E92" s="3"/>
    </row>
    <row r="93" customFormat="1" spans="1:6">
      <c r="A93" s="1"/>
      <c r="B93" s="2"/>
      <c r="C93" s="2"/>
      <c r="D93" s="3" t="s">
        <v>8</v>
      </c>
      <c r="E93" s="3">
        <v>16</v>
      </c>
      <c r="F93">
        <f>2*PRODUCT(E93:E98)</f>
        <v>1207959552</v>
      </c>
    </row>
    <row r="94" customFormat="1" spans="1:5">
      <c r="A94" s="1"/>
      <c r="B94" s="2"/>
      <c r="C94" s="2"/>
      <c r="D94" s="3" t="s">
        <v>9</v>
      </c>
      <c r="E94" s="3">
        <v>16</v>
      </c>
    </row>
    <row r="95" customFormat="1" spans="1:5">
      <c r="A95" s="1"/>
      <c r="B95" s="2"/>
      <c r="C95" s="2"/>
      <c r="D95" s="3" t="s">
        <v>15</v>
      </c>
      <c r="E95" s="3">
        <v>512</v>
      </c>
    </row>
    <row r="96" customFormat="1" spans="1:5">
      <c r="A96" s="1"/>
      <c r="B96" s="2"/>
      <c r="C96" s="2"/>
      <c r="D96" s="3" t="s">
        <v>34</v>
      </c>
      <c r="E96" s="3">
        <v>512</v>
      </c>
    </row>
    <row r="97" customFormat="1" spans="1:5">
      <c r="A97" s="1"/>
      <c r="B97" s="2"/>
      <c r="C97" s="2"/>
      <c r="D97" s="3" t="s">
        <v>6</v>
      </c>
      <c r="E97" s="3">
        <v>3</v>
      </c>
    </row>
    <row r="98" customFormat="1" spans="1:5">
      <c r="A98" s="1"/>
      <c r="B98" s="2"/>
      <c r="C98" s="2"/>
      <c r="D98" s="3" t="s">
        <v>7</v>
      </c>
      <c r="E98" s="3">
        <v>3</v>
      </c>
    </row>
    <row r="99" customFormat="1" spans="1:5">
      <c r="A99" s="1"/>
      <c r="B99" s="2"/>
      <c r="C99" s="2" t="s">
        <v>16</v>
      </c>
      <c r="D99" s="3"/>
      <c r="E99" s="3"/>
    </row>
    <row r="100" customFormat="1" spans="1:6">
      <c r="A100" s="1"/>
      <c r="B100" s="2"/>
      <c r="C100" s="2"/>
      <c r="D100" s="3" t="s">
        <v>11</v>
      </c>
      <c r="E100" s="3">
        <v>16</v>
      </c>
      <c r="F100">
        <f>PRODUCT(E100:E102)</f>
        <v>131072</v>
      </c>
    </row>
    <row r="101" customFormat="1" spans="1:5">
      <c r="A101" s="1"/>
      <c r="B101" s="2"/>
      <c r="C101" s="2"/>
      <c r="D101" s="3" t="s">
        <v>12</v>
      </c>
      <c r="E101" s="3">
        <v>16</v>
      </c>
    </row>
    <row r="102" customFormat="1" spans="1:5">
      <c r="A102" s="1"/>
      <c r="B102" s="2"/>
      <c r="C102" s="2"/>
      <c r="D102" s="3" t="s">
        <v>13</v>
      </c>
      <c r="E102" s="3">
        <v>512</v>
      </c>
    </row>
    <row r="103" customFormat="1" spans="1:6">
      <c r="A103" s="1"/>
      <c r="B103" s="2"/>
      <c r="C103" s="3"/>
      <c r="D103" s="3"/>
      <c r="E103" s="3"/>
      <c r="F103" s="4">
        <f>SUM(F82,F89,F93,F100)</f>
        <v>1812201472</v>
      </c>
    </row>
    <row r="104" customFormat="1" spans="1:1">
      <c r="A104" s="1"/>
    </row>
    <row r="105" customFormat="1" spans="1:1">
      <c r="A105" s="1"/>
    </row>
    <row r="106" customFormat="1" spans="1:11">
      <c r="A106" s="1"/>
      <c r="B106" s="2" t="s">
        <v>47</v>
      </c>
      <c r="C106" s="3"/>
      <c r="D106" s="3" t="s">
        <v>27</v>
      </c>
      <c r="E106" s="3"/>
      <c r="I106" s="3"/>
      <c r="J106" s="3" t="s">
        <v>24</v>
      </c>
      <c r="K106" s="3"/>
    </row>
    <row r="107" customFormat="1" spans="1:11">
      <c r="A107" s="1"/>
      <c r="B107" s="2"/>
      <c r="C107" s="2" t="s">
        <v>48</v>
      </c>
      <c r="D107" s="3"/>
      <c r="E107" s="3"/>
      <c r="I107" s="2" t="s">
        <v>46</v>
      </c>
      <c r="J107" s="3"/>
      <c r="K107" s="3"/>
    </row>
    <row r="108" customFormat="1" spans="1:12">
      <c r="A108" s="1"/>
      <c r="B108" s="2"/>
      <c r="C108" s="2"/>
      <c r="D108" s="3" t="s">
        <v>8</v>
      </c>
      <c r="E108" s="3">
        <v>8</v>
      </c>
      <c r="F108">
        <f>2*PRODUCT(E108:E113)</f>
        <v>603979776</v>
      </c>
      <c r="I108" s="2"/>
      <c r="J108" s="3" t="s">
        <v>8</v>
      </c>
      <c r="K108" s="3">
        <v>16</v>
      </c>
      <c r="L108">
        <f>2*PRODUCT(K108:K113)</f>
        <v>3623878656</v>
      </c>
    </row>
    <row r="109" customFormat="1" spans="1:11">
      <c r="A109" s="1"/>
      <c r="B109" s="2"/>
      <c r="C109" s="2"/>
      <c r="D109" s="3" t="s">
        <v>9</v>
      </c>
      <c r="E109" s="3">
        <v>8</v>
      </c>
      <c r="I109" s="2"/>
      <c r="J109" s="3" t="s">
        <v>9</v>
      </c>
      <c r="K109" s="3">
        <v>16</v>
      </c>
    </row>
    <row r="110" customFormat="1" spans="1:11">
      <c r="A110" s="1"/>
      <c r="B110" s="2"/>
      <c r="C110" s="2"/>
      <c r="D110" s="3" t="s">
        <v>15</v>
      </c>
      <c r="E110" s="3">
        <v>1024</v>
      </c>
      <c r="I110" s="2"/>
      <c r="J110" s="3" t="s">
        <v>15</v>
      </c>
      <c r="K110" s="3">
        <v>512</v>
      </c>
    </row>
    <row r="111" customFormat="1" spans="1:11">
      <c r="A111" s="1"/>
      <c r="B111" s="2"/>
      <c r="C111" s="2"/>
      <c r="D111" s="3" t="s">
        <v>34</v>
      </c>
      <c r="E111" s="3">
        <v>512</v>
      </c>
      <c r="I111" s="2"/>
      <c r="J111" s="3" t="s">
        <v>34</v>
      </c>
      <c r="K111" s="6">
        <v>1536</v>
      </c>
    </row>
    <row r="112" customFormat="1" spans="1:11">
      <c r="A112" s="1"/>
      <c r="B112" s="2"/>
      <c r="C112" s="2"/>
      <c r="D112" s="3" t="s">
        <v>6</v>
      </c>
      <c r="E112" s="3">
        <v>3</v>
      </c>
      <c r="I112" s="2"/>
      <c r="J112" s="3" t="s">
        <v>6</v>
      </c>
      <c r="K112" s="3">
        <v>3</v>
      </c>
    </row>
    <row r="113" customFormat="1" spans="1:11">
      <c r="A113" s="1"/>
      <c r="B113" s="2"/>
      <c r="C113" s="2"/>
      <c r="D113" s="3" t="s">
        <v>7</v>
      </c>
      <c r="E113" s="3">
        <v>3</v>
      </c>
      <c r="I113" s="2"/>
      <c r="J113" s="3" t="s">
        <v>7</v>
      </c>
      <c r="K113" s="3">
        <v>3</v>
      </c>
    </row>
    <row r="114" customFormat="1" spans="1:11">
      <c r="A114" s="1"/>
      <c r="B114" s="2"/>
      <c r="C114" s="2" t="s">
        <v>16</v>
      </c>
      <c r="D114" s="3"/>
      <c r="E114" s="3"/>
      <c r="I114" s="2" t="s">
        <v>16</v>
      </c>
      <c r="J114" s="3"/>
      <c r="K114" s="3"/>
    </row>
    <row r="115" customFormat="1" spans="1:12">
      <c r="A115" s="1"/>
      <c r="B115" s="2"/>
      <c r="C115" s="2"/>
      <c r="D115" s="3" t="s">
        <v>11</v>
      </c>
      <c r="E115" s="3">
        <v>8</v>
      </c>
      <c r="F115">
        <f>PRODUCT(E115:E117)</f>
        <v>65536</v>
      </c>
      <c r="I115" s="2"/>
      <c r="J115" s="3" t="s">
        <v>11</v>
      </c>
      <c r="K115" s="3">
        <v>16</v>
      </c>
      <c r="L115">
        <f>PRODUCT(K115:K117)</f>
        <v>131072</v>
      </c>
    </row>
    <row r="116" customFormat="1" spans="1:11">
      <c r="A116" s="1"/>
      <c r="B116" s="2"/>
      <c r="C116" s="2"/>
      <c r="D116" s="3" t="s">
        <v>12</v>
      </c>
      <c r="E116" s="3">
        <v>8</v>
      </c>
      <c r="I116" s="2"/>
      <c r="J116" s="3" t="s">
        <v>12</v>
      </c>
      <c r="K116" s="3">
        <v>16</v>
      </c>
    </row>
    <row r="117" customFormat="1" spans="1:11">
      <c r="A117" s="1"/>
      <c r="B117" s="2"/>
      <c r="C117" s="2"/>
      <c r="D117" s="3" t="s">
        <v>13</v>
      </c>
      <c r="E117" s="3">
        <v>1024</v>
      </c>
      <c r="I117" s="2"/>
      <c r="J117" s="3" t="s">
        <v>13</v>
      </c>
      <c r="K117" s="3">
        <v>512</v>
      </c>
    </row>
    <row r="118" customFormat="1" spans="1:11">
      <c r="A118" s="1"/>
      <c r="B118" s="2"/>
      <c r="C118" s="2" t="s">
        <v>48</v>
      </c>
      <c r="D118" s="3"/>
      <c r="E118" s="3"/>
      <c r="I118" s="2" t="s">
        <v>46</v>
      </c>
      <c r="J118" s="3"/>
      <c r="K118" s="3"/>
    </row>
    <row r="119" customFormat="1" spans="1:12">
      <c r="A119" s="1"/>
      <c r="B119" s="2"/>
      <c r="C119" s="2"/>
      <c r="D119" s="3" t="s">
        <v>8</v>
      </c>
      <c r="E119" s="3">
        <v>8</v>
      </c>
      <c r="F119">
        <f>2*PRODUCT(E119:E124)</f>
        <v>1207959552</v>
      </c>
      <c r="I119" s="2"/>
      <c r="J119" s="3" t="s">
        <v>8</v>
      </c>
      <c r="K119" s="3">
        <v>16</v>
      </c>
      <c r="L119">
        <f>2*PRODUCT(K119:K124)</f>
        <v>1207959552</v>
      </c>
    </row>
    <row r="120" customFormat="1" spans="1:11">
      <c r="A120" s="1"/>
      <c r="B120" s="2"/>
      <c r="C120" s="2"/>
      <c r="D120" s="3" t="s">
        <v>9</v>
      </c>
      <c r="E120" s="3">
        <v>8</v>
      </c>
      <c r="I120" s="2"/>
      <c r="J120" s="3" t="s">
        <v>9</v>
      </c>
      <c r="K120" s="3">
        <v>16</v>
      </c>
    </row>
    <row r="121" customFormat="1" spans="1:11">
      <c r="A121" s="1"/>
      <c r="B121" s="2"/>
      <c r="C121" s="2"/>
      <c r="D121" s="3" t="s">
        <v>15</v>
      </c>
      <c r="E121" s="3">
        <v>1024</v>
      </c>
      <c r="I121" s="2"/>
      <c r="J121" s="3" t="s">
        <v>15</v>
      </c>
      <c r="K121" s="3">
        <v>512</v>
      </c>
    </row>
    <row r="122" customFormat="1" spans="1:11">
      <c r="A122" s="1"/>
      <c r="B122" s="2"/>
      <c r="C122" s="2"/>
      <c r="D122" s="3" t="s">
        <v>34</v>
      </c>
      <c r="E122" s="3">
        <v>1024</v>
      </c>
      <c r="I122" s="2"/>
      <c r="J122" s="3" t="s">
        <v>34</v>
      </c>
      <c r="K122" s="3">
        <v>512</v>
      </c>
    </row>
    <row r="123" customFormat="1" spans="1:11">
      <c r="A123" s="1"/>
      <c r="B123" s="2"/>
      <c r="C123" s="2"/>
      <c r="D123" s="3" t="s">
        <v>6</v>
      </c>
      <c r="E123" s="3">
        <v>3</v>
      </c>
      <c r="I123" s="2"/>
      <c r="J123" s="3" t="s">
        <v>6</v>
      </c>
      <c r="K123" s="3">
        <v>3</v>
      </c>
    </row>
    <row r="124" customFormat="1" spans="1:11">
      <c r="A124" s="1"/>
      <c r="B124" s="2"/>
      <c r="C124" s="2"/>
      <c r="D124" s="3" t="s">
        <v>7</v>
      </c>
      <c r="E124" s="3">
        <v>3</v>
      </c>
      <c r="I124" s="2"/>
      <c r="J124" s="3" t="s">
        <v>7</v>
      </c>
      <c r="K124" s="3">
        <v>3</v>
      </c>
    </row>
    <row r="125" customFormat="1" spans="1:11">
      <c r="A125" s="1"/>
      <c r="B125" s="2"/>
      <c r="C125" s="2" t="s">
        <v>16</v>
      </c>
      <c r="D125" s="3"/>
      <c r="E125" s="3"/>
      <c r="I125" s="2" t="s">
        <v>16</v>
      </c>
      <c r="J125" s="3"/>
      <c r="K125" s="3"/>
    </row>
    <row r="126" customFormat="1" spans="1:12">
      <c r="A126" s="1"/>
      <c r="B126" s="2"/>
      <c r="C126" s="2"/>
      <c r="D126" s="3" t="s">
        <v>11</v>
      </c>
      <c r="E126" s="3">
        <v>8</v>
      </c>
      <c r="F126">
        <f>PRODUCT(E126:E128)</f>
        <v>65536</v>
      </c>
      <c r="I126" s="2"/>
      <c r="J126" s="3" t="s">
        <v>11</v>
      </c>
      <c r="K126" s="3">
        <v>16</v>
      </c>
      <c r="L126">
        <f>PRODUCT(K126:K128)</f>
        <v>131072</v>
      </c>
    </row>
    <row r="127" customFormat="1" spans="1:11">
      <c r="A127" s="1"/>
      <c r="B127" s="2"/>
      <c r="C127" s="2"/>
      <c r="D127" s="3" t="s">
        <v>12</v>
      </c>
      <c r="E127" s="3">
        <v>8</v>
      </c>
      <c r="I127" s="2"/>
      <c r="J127" s="3" t="s">
        <v>12</v>
      </c>
      <c r="K127" s="3">
        <v>16</v>
      </c>
    </row>
    <row r="128" customFormat="1" spans="1:11">
      <c r="A128" s="1"/>
      <c r="B128" s="2"/>
      <c r="C128" s="2"/>
      <c r="D128" s="3" t="s">
        <v>13</v>
      </c>
      <c r="E128" s="3">
        <v>1024</v>
      </c>
      <c r="I128" s="2"/>
      <c r="J128" s="3" t="s">
        <v>13</v>
      </c>
      <c r="K128" s="3">
        <v>512</v>
      </c>
    </row>
    <row r="129" customFormat="1" spans="1:12">
      <c r="A129" s="1"/>
      <c r="B129" s="2"/>
      <c r="C129" s="3"/>
      <c r="D129" s="3"/>
      <c r="E129" s="3"/>
      <c r="F129" s="4">
        <f>SUM(F108,F115,F119,F126)</f>
        <v>1812070400</v>
      </c>
      <c r="I129" s="3"/>
      <c r="J129" s="3"/>
      <c r="K129" s="3"/>
      <c r="L129" s="4">
        <f>SUM(L108,L115,L119,L126)</f>
        <v>4832100352</v>
      </c>
    </row>
    <row r="130" customFormat="1"/>
    <row r="131" customFormat="1"/>
    <row r="132" customFormat="1"/>
    <row r="133" customFormat="1"/>
    <row r="134" customFormat="1" spans="1:5">
      <c r="A134" s="7" t="s">
        <v>49</v>
      </c>
      <c r="B134" s="2" t="s">
        <v>45</v>
      </c>
      <c r="C134" s="3"/>
      <c r="D134" s="3" t="s">
        <v>24</v>
      </c>
      <c r="E134" s="3"/>
    </row>
    <row r="135" customFormat="1" ht="21" customHeight="1" spans="1:5">
      <c r="A135" s="7"/>
      <c r="B135" s="2"/>
      <c r="C135" s="2" t="s">
        <v>46</v>
      </c>
      <c r="D135" s="3"/>
      <c r="E135" s="3"/>
    </row>
    <row r="136" customFormat="1" spans="1:6">
      <c r="A136" s="7"/>
      <c r="B136" s="2"/>
      <c r="C136" s="2"/>
      <c r="D136" s="3" t="s">
        <v>8</v>
      </c>
      <c r="E136" s="3">
        <v>16</v>
      </c>
      <c r="F136">
        <f>2*PRODUCT(E136:E141)</f>
        <v>2415919104</v>
      </c>
    </row>
    <row r="137" customFormat="1" spans="1:5">
      <c r="A137" s="7"/>
      <c r="B137" s="2"/>
      <c r="C137" s="2"/>
      <c r="D137" s="3" t="s">
        <v>9</v>
      </c>
      <c r="E137" s="3">
        <v>16</v>
      </c>
    </row>
    <row r="138" customFormat="1" spans="1:5">
      <c r="A138" s="7"/>
      <c r="B138" s="2"/>
      <c r="C138" s="2"/>
      <c r="D138" s="3" t="s">
        <v>15</v>
      </c>
      <c r="E138" s="3">
        <v>512</v>
      </c>
    </row>
    <row r="139" customFormat="1" spans="1:5">
      <c r="A139" s="7"/>
      <c r="B139" s="2"/>
      <c r="C139" s="2"/>
      <c r="D139" s="3" t="s">
        <v>34</v>
      </c>
      <c r="E139" s="5">
        <v>1024</v>
      </c>
    </row>
    <row r="140" customFormat="1" spans="1:5">
      <c r="A140" s="7"/>
      <c r="B140" s="2"/>
      <c r="C140" s="2"/>
      <c r="D140" s="3" t="s">
        <v>6</v>
      </c>
      <c r="E140" s="3">
        <v>3</v>
      </c>
    </row>
    <row r="141" customFormat="1" spans="1:5">
      <c r="A141" s="7"/>
      <c r="B141" s="2"/>
      <c r="C141" s="2"/>
      <c r="D141" s="3" t="s">
        <v>7</v>
      </c>
      <c r="E141" s="3">
        <v>3</v>
      </c>
    </row>
    <row r="142" customFormat="1" spans="1:5">
      <c r="A142" s="7"/>
      <c r="B142" s="2"/>
      <c r="C142" s="2" t="s">
        <v>16</v>
      </c>
      <c r="D142" s="3"/>
      <c r="E142" s="3"/>
    </row>
    <row r="143" customFormat="1" spans="1:6">
      <c r="A143" s="7"/>
      <c r="B143" s="2"/>
      <c r="C143" s="2"/>
      <c r="D143" s="3" t="s">
        <v>11</v>
      </c>
      <c r="E143" s="3">
        <v>16</v>
      </c>
      <c r="F143">
        <f>PRODUCT(E143:E145)</f>
        <v>131072</v>
      </c>
    </row>
    <row r="144" customFormat="1" spans="1:5">
      <c r="A144" s="7"/>
      <c r="B144" s="2"/>
      <c r="C144" s="2"/>
      <c r="D144" s="3" t="s">
        <v>12</v>
      </c>
      <c r="E144" s="3">
        <v>16</v>
      </c>
    </row>
    <row r="145" customFormat="1" spans="1:5">
      <c r="A145" s="7"/>
      <c r="B145" s="2"/>
      <c r="C145" s="2"/>
      <c r="D145" s="3" t="s">
        <v>13</v>
      </c>
      <c r="E145" s="3">
        <v>512</v>
      </c>
    </row>
    <row r="146" customFormat="1" spans="1:5">
      <c r="A146" s="7"/>
      <c r="B146" s="2"/>
      <c r="C146" s="2" t="s">
        <v>46</v>
      </c>
      <c r="D146" s="3"/>
      <c r="E146" s="3"/>
    </row>
    <row r="147" customFormat="1" spans="1:6">
      <c r="A147" s="7"/>
      <c r="B147" s="2"/>
      <c r="C147" s="2"/>
      <c r="D147" s="3" t="s">
        <v>8</v>
      </c>
      <c r="E147" s="3">
        <v>16</v>
      </c>
      <c r="F147">
        <f>2*PRODUCT(E147:E152)</f>
        <v>1207959552</v>
      </c>
    </row>
    <row r="148" customFormat="1" spans="1:5">
      <c r="A148" s="7"/>
      <c r="B148" s="2"/>
      <c r="C148" s="2"/>
      <c r="D148" s="3" t="s">
        <v>9</v>
      </c>
      <c r="E148" s="3">
        <v>16</v>
      </c>
    </row>
    <row r="149" customFormat="1" spans="1:5">
      <c r="A149" s="7"/>
      <c r="B149" s="2"/>
      <c r="C149" s="2"/>
      <c r="D149" s="3" t="s">
        <v>15</v>
      </c>
      <c r="E149" s="3">
        <v>512</v>
      </c>
    </row>
    <row r="150" customFormat="1" spans="1:5">
      <c r="A150" s="7"/>
      <c r="B150" s="2"/>
      <c r="C150" s="2"/>
      <c r="D150" s="3" t="s">
        <v>34</v>
      </c>
      <c r="E150" s="3">
        <v>512</v>
      </c>
    </row>
    <row r="151" customFormat="1" spans="1:5">
      <c r="A151" s="7"/>
      <c r="B151" s="2"/>
      <c r="C151" s="2"/>
      <c r="D151" s="3" t="s">
        <v>6</v>
      </c>
      <c r="E151" s="3">
        <v>3</v>
      </c>
    </row>
    <row r="152" customFormat="1" spans="1:5">
      <c r="A152" s="7"/>
      <c r="B152" s="2"/>
      <c r="C152" s="2"/>
      <c r="D152" s="3" t="s">
        <v>7</v>
      </c>
      <c r="E152" s="3">
        <v>3</v>
      </c>
    </row>
    <row r="153" customFormat="1" spans="1:5">
      <c r="A153" s="7"/>
      <c r="B153" s="2"/>
      <c r="C153" s="2" t="s">
        <v>16</v>
      </c>
      <c r="D153" s="3"/>
      <c r="E153" s="3"/>
    </row>
    <row r="154" customFormat="1" spans="1:6">
      <c r="A154" s="7"/>
      <c r="B154" s="2"/>
      <c r="C154" s="2"/>
      <c r="D154" s="3" t="s">
        <v>11</v>
      </c>
      <c r="E154" s="3">
        <v>16</v>
      </c>
      <c r="F154">
        <f>PRODUCT(E154:E156)</f>
        <v>131072</v>
      </c>
    </row>
    <row r="155" customFormat="1" spans="1:5">
      <c r="A155" s="7"/>
      <c r="B155" s="2"/>
      <c r="C155" s="2"/>
      <c r="D155" s="3" t="s">
        <v>12</v>
      </c>
      <c r="E155" s="3">
        <v>16</v>
      </c>
    </row>
    <row r="156" customFormat="1" spans="1:5">
      <c r="A156" s="7"/>
      <c r="B156" s="2"/>
      <c r="C156" s="2"/>
      <c r="D156" s="3" t="s">
        <v>13</v>
      </c>
      <c r="E156" s="3">
        <v>512</v>
      </c>
    </row>
    <row r="157" customFormat="1" spans="1:6">
      <c r="A157" s="7"/>
      <c r="B157" s="2"/>
      <c r="C157" s="3"/>
      <c r="D157" s="3"/>
      <c r="E157" s="3"/>
      <c r="F157" s="4">
        <f>SUM(F136,F143,F147,F154)</f>
        <v>3624140800</v>
      </c>
    </row>
    <row r="158" customFormat="1" spans="1:1">
      <c r="A158" s="7"/>
    </row>
    <row r="159" customFormat="1" spans="1:1">
      <c r="A159" s="7"/>
    </row>
    <row r="160" customFormat="1" spans="1:5">
      <c r="A160" s="7"/>
      <c r="B160" s="2" t="s">
        <v>43</v>
      </c>
      <c r="C160" s="3"/>
      <c r="D160" s="3" t="s">
        <v>21</v>
      </c>
      <c r="E160" s="3"/>
    </row>
    <row r="161" customFormat="1" spans="1:5">
      <c r="A161" s="7"/>
      <c r="B161" s="2"/>
      <c r="C161" s="2" t="s">
        <v>44</v>
      </c>
      <c r="D161" s="3"/>
      <c r="E161" s="3"/>
    </row>
    <row r="162" customFormat="1" spans="1:6">
      <c r="A162" s="7"/>
      <c r="B162" s="2"/>
      <c r="C162" s="2"/>
      <c r="D162" s="3" t="s">
        <v>8</v>
      </c>
      <c r="E162" s="3">
        <v>32</v>
      </c>
      <c r="F162">
        <f>2*PRODUCT(E162:E167)</f>
        <v>4831838208</v>
      </c>
    </row>
    <row r="163" customFormat="1" spans="1:5">
      <c r="A163" s="7"/>
      <c r="B163" s="2"/>
      <c r="C163" s="2"/>
      <c r="D163" s="3" t="s">
        <v>9</v>
      </c>
      <c r="E163" s="3">
        <v>32</v>
      </c>
    </row>
    <row r="164" customFormat="1" spans="1:5">
      <c r="A164" s="7"/>
      <c r="B164" s="2"/>
      <c r="C164" s="2"/>
      <c r="D164" s="3" t="s">
        <v>15</v>
      </c>
      <c r="E164" s="3">
        <v>256</v>
      </c>
    </row>
    <row r="165" customFormat="1" spans="1:5">
      <c r="A165" s="7"/>
      <c r="B165" s="2"/>
      <c r="C165" s="2"/>
      <c r="D165" s="3" t="s">
        <v>34</v>
      </c>
      <c r="E165" s="5">
        <v>1024</v>
      </c>
    </row>
    <row r="166" customFormat="1" spans="1:5">
      <c r="A166" s="7"/>
      <c r="B166" s="2"/>
      <c r="C166" s="2"/>
      <c r="D166" s="3" t="s">
        <v>6</v>
      </c>
      <c r="E166" s="3">
        <v>3</v>
      </c>
    </row>
    <row r="167" customFormat="1" spans="1:5">
      <c r="A167" s="7"/>
      <c r="B167" s="2"/>
      <c r="C167" s="2"/>
      <c r="D167" s="3" t="s">
        <v>7</v>
      </c>
      <c r="E167" s="3">
        <v>3</v>
      </c>
    </row>
    <row r="168" customFormat="1" spans="1:5">
      <c r="A168" s="7"/>
      <c r="B168" s="2"/>
      <c r="C168" s="2" t="s">
        <v>16</v>
      </c>
      <c r="D168" s="3"/>
      <c r="E168" s="3"/>
    </row>
    <row r="169" customFormat="1" spans="1:6">
      <c r="A169" s="7"/>
      <c r="B169" s="2"/>
      <c r="C169" s="2"/>
      <c r="D169" s="3" t="s">
        <v>11</v>
      </c>
      <c r="E169" s="3">
        <v>32</v>
      </c>
      <c r="F169">
        <f>PRODUCT(E169:E171)</f>
        <v>262144</v>
      </c>
    </row>
    <row r="170" customFormat="1" spans="1:5">
      <c r="A170" s="7"/>
      <c r="B170" s="2"/>
      <c r="C170" s="2"/>
      <c r="D170" s="3" t="s">
        <v>12</v>
      </c>
      <c r="E170" s="3">
        <v>32</v>
      </c>
    </row>
    <row r="171" customFormat="1" spans="1:5">
      <c r="A171" s="7"/>
      <c r="B171" s="2"/>
      <c r="C171" s="2"/>
      <c r="D171" s="3" t="s">
        <v>13</v>
      </c>
      <c r="E171" s="3">
        <v>256</v>
      </c>
    </row>
    <row r="172" customFormat="1" spans="1:5">
      <c r="A172" s="7"/>
      <c r="B172" s="2"/>
      <c r="C172" s="2" t="s">
        <v>44</v>
      </c>
      <c r="D172" s="3"/>
      <c r="E172" s="3"/>
    </row>
    <row r="173" customFormat="1" spans="1:6">
      <c r="A173" s="7"/>
      <c r="B173" s="2"/>
      <c r="C173" s="2"/>
      <c r="D173" s="3" t="s">
        <v>8</v>
      </c>
      <c r="E173" s="3">
        <v>32</v>
      </c>
      <c r="F173">
        <f>2*PRODUCT(E173:E178)</f>
        <v>1207959552</v>
      </c>
    </row>
    <row r="174" customFormat="1" spans="1:5">
      <c r="A174" s="7"/>
      <c r="B174" s="2"/>
      <c r="C174" s="2"/>
      <c r="D174" s="3" t="s">
        <v>9</v>
      </c>
      <c r="E174" s="3">
        <v>32</v>
      </c>
    </row>
    <row r="175" customFormat="1" spans="1:5">
      <c r="A175" s="7"/>
      <c r="B175" s="2"/>
      <c r="C175" s="2"/>
      <c r="D175" s="3" t="s">
        <v>15</v>
      </c>
      <c r="E175" s="3">
        <v>256</v>
      </c>
    </row>
    <row r="176" customFormat="1" spans="1:5">
      <c r="A176" s="7"/>
      <c r="B176" s="2"/>
      <c r="C176" s="2"/>
      <c r="D176" s="3" t="s">
        <v>34</v>
      </c>
      <c r="E176" s="3">
        <v>256</v>
      </c>
    </row>
    <row r="177" customFormat="1" spans="1:5">
      <c r="A177" s="7"/>
      <c r="B177" s="2"/>
      <c r="C177" s="2"/>
      <c r="D177" s="3" t="s">
        <v>6</v>
      </c>
      <c r="E177" s="3">
        <v>3</v>
      </c>
    </row>
    <row r="178" customFormat="1" spans="1:5">
      <c r="A178" s="7"/>
      <c r="B178" s="2"/>
      <c r="C178" s="2"/>
      <c r="D178" s="3" t="s">
        <v>7</v>
      </c>
      <c r="E178" s="3">
        <v>3</v>
      </c>
    </row>
    <row r="179" customFormat="1" spans="1:5">
      <c r="A179" s="7"/>
      <c r="B179" s="2"/>
      <c r="C179" s="2" t="s">
        <v>16</v>
      </c>
      <c r="D179" s="3"/>
      <c r="E179" s="3"/>
    </row>
    <row r="180" customFormat="1" spans="1:6">
      <c r="A180" s="7"/>
      <c r="B180" s="2"/>
      <c r="C180" s="2"/>
      <c r="D180" s="3" t="s">
        <v>11</v>
      </c>
      <c r="E180" s="3">
        <v>32</v>
      </c>
      <c r="F180">
        <f>PRODUCT(E180:E182)</f>
        <v>262144</v>
      </c>
    </row>
    <row r="181" customFormat="1" spans="1:5">
      <c r="A181" s="7"/>
      <c r="B181" s="2"/>
      <c r="C181" s="2"/>
      <c r="D181" s="3" t="s">
        <v>12</v>
      </c>
      <c r="E181" s="3">
        <v>32</v>
      </c>
    </row>
    <row r="182" customFormat="1" spans="1:5">
      <c r="A182" s="7"/>
      <c r="B182" s="2"/>
      <c r="C182" s="2"/>
      <c r="D182" s="3" t="s">
        <v>13</v>
      </c>
      <c r="E182" s="3">
        <v>256</v>
      </c>
    </row>
    <row r="183" customFormat="1" spans="1:6">
      <c r="A183" s="7"/>
      <c r="B183" s="2"/>
      <c r="C183" s="3"/>
      <c r="D183" s="3"/>
      <c r="E183" s="3"/>
      <c r="F183" s="4">
        <f>SUM(F162,F169,F173,F180)</f>
        <v>6040322048</v>
      </c>
    </row>
    <row r="184" customFormat="1" spans="1:1">
      <c r="A184" s="7"/>
    </row>
    <row r="185" customFormat="1" spans="1:1">
      <c r="A185" s="7"/>
    </row>
    <row r="186" customFormat="1" spans="1:5">
      <c r="A186" s="7"/>
      <c r="B186" s="2" t="s">
        <v>42</v>
      </c>
      <c r="C186" s="3"/>
      <c r="D186" s="3" t="s">
        <v>18</v>
      </c>
      <c r="E186" s="3"/>
    </row>
    <row r="187" customFormat="1" spans="1:5">
      <c r="A187" s="7"/>
      <c r="B187" s="2"/>
      <c r="C187" s="2" t="s">
        <v>33</v>
      </c>
      <c r="D187" s="3"/>
      <c r="E187" s="3"/>
    </row>
    <row r="188" customFormat="1" spans="1:6">
      <c r="A188" s="7"/>
      <c r="B188" s="2"/>
      <c r="C188" s="2"/>
      <c r="D188" s="3" t="s">
        <v>8</v>
      </c>
      <c r="E188" s="3">
        <v>64</v>
      </c>
      <c r="F188">
        <f>2*PRODUCT(E188:E193)</f>
        <v>4831838208</v>
      </c>
    </row>
    <row r="189" customFormat="1" spans="1:5">
      <c r="A189" s="7"/>
      <c r="B189" s="2"/>
      <c r="C189" s="2"/>
      <c r="D189" s="3" t="s">
        <v>9</v>
      </c>
      <c r="E189" s="3">
        <v>64</v>
      </c>
    </row>
    <row r="190" customFormat="1" spans="1:5">
      <c r="A190" s="7"/>
      <c r="B190" s="2"/>
      <c r="C190" s="2"/>
      <c r="D190" s="3" t="s">
        <v>15</v>
      </c>
      <c r="E190" s="3">
        <v>128</v>
      </c>
    </row>
    <row r="191" customFormat="1" spans="1:5">
      <c r="A191" s="7"/>
      <c r="B191" s="2"/>
      <c r="C191" s="2"/>
      <c r="D191" s="3" t="s">
        <v>34</v>
      </c>
      <c r="E191" s="5">
        <v>512</v>
      </c>
    </row>
    <row r="192" customFormat="1" spans="1:5">
      <c r="A192" s="7"/>
      <c r="B192" s="2"/>
      <c r="C192" s="2"/>
      <c r="D192" s="3" t="s">
        <v>6</v>
      </c>
      <c r="E192" s="3">
        <v>3</v>
      </c>
    </row>
    <row r="193" customFormat="1" spans="1:5">
      <c r="A193" s="7"/>
      <c r="B193" s="2"/>
      <c r="C193" s="2"/>
      <c r="D193" s="3" t="s">
        <v>7</v>
      </c>
      <c r="E193" s="3">
        <v>3</v>
      </c>
    </row>
    <row r="194" customFormat="1" spans="1:5">
      <c r="A194" s="7"/>
      <c r="B194" s="2"/>
      <c r="C194" s="2" t="s">
        <v>16</v>
      </c>
      <c r="D194" s="3"/>
      <c r="E194" s="3"/>
    </row>
    <row r="195" customFormat="1" spans="1:6">
      <c r="A195" s="7"/>
      <c r="B195" s="2"/>
      <c r="C195" s="2"/>
      <c r="D195" s="3" t="s">
        <v>11</v>
      </c>
      <c r="E195" s="3">
        <v>64</v>
      </c>
      <c r="F195">
        <f>PRODUCT(E195:E197)</f>
        <v>524288</v>
      </c>
    </row>
    <row r="196" customFormat="1" spans="1:5">
      <c r="A196" s="7"/>
      <c r="B196" s="2"/>
      <c r="C196" s="2"/>
      <c r="D196" s="3" t="s">
        <v>12</v>
      </c>
      <c r="E196" s="3">
        <v>64</v>
      </c>
    </row>
    <row r="197" customFormat="1" spans="1:5">
      <c r="A197" s="7"/>
      <c r="B197" s="2"/>
      <c r="C197" s="2"/>
      <c r="D197" s="3" t="s">
        <v>13</v>
      </c>
      <c r="E197" s="3">
        <v>128</v>
      </c>
    </row>
    <row r="198" customFormat="1" spans="1:5">
      <c r="A198" s="7"/>
      <c r="B198" s="2"/>
      <c r="C198" s="2" t="s">
        <v>33</v>
      </c>
      <c r="D198" s="3"/>
      <c r="E198" s="3"/>
    </row>
    <row r="199" customFormat="1" spans="1:6">
      <c r="A199" s="7"/>
      <c r="B199" s="2"/>
      <c r="C199" s="2"/>
      <c r="D199" s="3" t="s">
        <v>8</v>
      </c>
      <c r="E199" s="3">
        <v>64</v>
      </c>
      <c r="F199">
        <f>2*PRODUCT(E199:E204)</f>
        <v>1207959552</v>
      </c>
    </row>
    <row r="200" customFormat="1" spans="1:5">
      <c r="A200" s="7"/>
      <c r="B200" s="2"/>
      <c r="C200" s="2"/>
      <c r="D200" s="3" t="s">
        <v>9</v>
      </c>
      <c r="E200" s="3">
        <v>64</v>
      </c>
    </row>
    <row r="201" customFormat="1" spans="1:5">
      <c r="A201" s="7"/>
      <c r="B201" s="2"/>
      <c r="C201" s="2"/>
      <c r="D201" s="3" t="s">
        <v>15</v>
      </c>
      <c r="E201" s="3">
        <v>128</v>
      </c>
    </row>
    <row r="202" customFormat="1" spans="1:5">
      <c r="A202" s="7"/>
      <c r="B202" s="2"/>
      <c r="C202" s="2"/>
      <c r="D202" s="3" t="s">
        <v>34</v>
      </c>
      <c r="E202" s="3">
        <v>128</v>
      </c>
    </row>
    <row r="203" customFormat="1" spans="1:5">
      <c r="A203" s="7"/>
      <c r="B203" s="2"/>
      <c r="C203" s="2"/>
      <c r="D203" s="3" t="s">
        <v>6</v>
      </c>
      <c r="E203" s="3">
        <v>3</v>
      </c>
    </row>
    <row r="204" customFormat="1" spans="1:5">
      <c r="A204" s="7"/>
      <c r="B204" s="2"/>
      <c r="C204" s="2"/>
      <c r="D204" s="3" t="s">
        <v>7</v>
      </c>
      <c r="E204" s="3">
        <v>3</v>
      </c>
    </row>
    <row r="205" customFormat="1" spans="1:5">
      <c r="A205" s="7"/>
      <c r="B205" s="2"/>
      <c r="C205" s="2" t="s">
        <v>16</v>
      </c>
      <c r="D205" s="3"/>
      <c r="E205" s="3"/>
    </row>
    <row r="206" customFormat="1" spans="1:6">
      <c r="A206" s="7"/>
      <c r="B206" s="2"/>
      <c r="C206" s="2"/>
      <c r="D206" s="3" t="s">
        <v>11</v>
      </c>
      <c r="E206" s="3">
        <v>64</v>
      </c>
      <c r="F206">
        <f>PRODUCT(E206:E208)</f>
        <v>524288</v>
      </c>
    </row>
    <row r="207" customFormat="1" spans="1:5">
      <c r="A207" s="7"/>
      <c r="B207" s="2"/>
      <c r="C207" s="2"/>
      <c r="D207" s="3" t="s">
        <v>12</v>
      </c>
      <c r="E207" s="3">
        <v>64</v>
      </c>
    </row>
    <row r="208" customFormat="1" spans="1:5">
      <c r="A208" s="7"/>
      <c r="B208" s="2"/>
      <c r="C208" s="2"/>
      <c r="D208" s="3" t="s">
        <v>13</v>
      </c>
      <c r="E208" s="3">
        <v>128</v>
      </c>
    </row>
    <row r="209" customFormat="1" spans="1:6">
      <c r="A209" s="7"/>
      <c r="B209" s="2"/>
      <c r="C209" s="3"/>
      <c r="D209" s="3"/>
      <c r="E209" s="3"/>
      <c r="F209" s="4">
        <f>SUM(F188,F195,F199,F206)</f>
        <v>6040846336</v>
      </c>
    </row>
    <row r="210" customFormat="1" spans="1:1">
      <c r="A210" s="7"/>
    </row>
    <row r="211" customFormat="1" spans="1:1">
      <c r="A211" s="7"/>
    </row>
    <row r="212" customFormat="1" spans="1:5">
      <c r="A212" s="7"/>
      <c r="B212" s="2" t="s">
        <v>39</v>
      </c>
      <c r="C212" s="3"/>
      <c r="D212" s="3" t="s">
        <v>40</v>
      </c>
      <c r="E212" s="3"/>
    </row>
    <row r="213" customFormat="1" spans="1:5">
      <c r="A213" s="7"/>
      <c r="B213" s="2"/>
      <c r="C213" s="2" t="s">
        <v>33</v>
      </c>
      <c r="D213" s="3"/>
      <c r="E213" s="3"/>
    </row>
    <row r="214" customFormat="1" spans="1:6">
      <c r="A214" s="7"/>
      <c r="B214" s="2"/>
      <c r="C214" s="2"/>
      <c r="D214" s="3" t="s">
        <v>8</v>
      </c>
      <c r="E214" s="3">
        <v>128</v>
      </c>
      <c r="F214">
        <f>2*PRODUCT(E214:E219)</f>
        <v>7247757312</v>
      </c>
    </row>
    <row r="215" customFormat="1" spans="1:5">
      <c r="A215" s="7"/>
      <c r="B215" s="2"/>
      <c r="C215" s="2"/>
      <c r="D215" s="3" t="s">
        <v>9</v>
      </c>
      <c r="E215" s="3">
        <v>128</v>
      </c>
    </row>
    <row r="216" customFormat="1" spans="1:5">
      <c r="A216" s="7"/>
      <c r="B216" s="2"/>
      <c r="C216" s="2"/>
      <c r="D216" s="3" t="s">
        <v>15</v>
      </c>
      <c r="E216" s="3">
        <v>64</v>
      </c>
    </row>
    <row r="217" customFormat="1" spans="1:5">
      <c r="A217" s="7"/>
      <c r="B217" s="2"/>
      <c r="C217" s="2"/>
      <c r="D217" s="3" t="s">
        <v>34</v>
      </c>
      <c r="E217" s="5">
        <v>384</v>
      </c>
    </row>
    <row r="218" customFormat="1" spans="1:5">
      <c r="A218" s="7"/>
      <c r="B218" s="2"/>
      <c r="C218" s="2"/>
      <c r="D218" s="3" t="s">
        <v>6</v>
      </c>
      <c r="E218" s="3">
        <v>3</v>
      </c>
    </row>
    <row r="219" customFormat="1" spans="1:5">
      <c r="A219" s="7"/>
      <c r="B219" s="2"/>
      <c r="C219" s="2"/>
      <c r="D219" s="3" t="s">
        <v>7</v>
      </c>
      <c r="E219" s="3">
        <v>3</v>
      </c>
    </row>
    <row r="220" customFormat="1" spans="1:5">
      <c r="A220" s="7"/>
      <c r="B220" s="2"/>
      <c r="C220" s="2" t="s">
        <v>16</v>
      </c>
      <c r="D220" s="3"/>
      <c r="E220" s="3"/>
    </row>
    <row r="221" customFormat="1" spans="1:6">
      <c r="A221" s="7"/>
      <c r="B221" s="2"/>
      <c r="C221" s="2"/>
      <c r="D221" s="3" t="s">
        <v>11</v>
      </c>
      <c r="E221" s="3">
        <v>128</v>
      </c>
      <c r="F221">
        <f>PRODUCT(E221:E223)</f>
        <v>1048576</v>
      </c>
    </row>
    <row r="222" customFormat="1" spans="1:5">
      <c r="A222" s="7"/>
      <c r="B222" s="2"/>
      <c r="C222" s="2"/>
      <c r="D222" s="3" t="s">
        <v>12</v>
      </c>
      <c r="E222" s="3">
        <v>128</v>
      </c>
    </row>
    <row r="223" customFormat="1" spans="1:5">
      <c r="A223" s="7"/>
      <c r="B223" s="2"/>
      <c r="C223" s="2"/>
      <c r="D223" s="3" t="s">
        <v>13</v>
      </c>
      <c r="E223" s="3">
        <v>64</v>
      </c>
    </row>
    <row r="224" customFormat="1" spans="1:5">
      <c r="A224" s="7"/>
      <c r="B224" s="2"/>
      <c r="C224" s="2" t="s">
        <v>33</v>
      </c>
      <c r="D224" s="3"/>
      <c r="E224" s="3"/>
    </row>
    <row r="225" customFormat="1" spans="1:6">
      <c r="A225" s="7"/>
      <c r="B225" s="2"/>
      <c r="C225" s="2"/>
      <c r="D225" s="3" t="s">
        <v>8</v>
      </c>
      <c r="E225" s="3">
        <v>128</v>
      </c>
      <c r="F225">
        <f>2*PRODUCT(E225:E230)</f>
        <v>1207959552</v>
      </c>
    </row>
    <row r="226" customFormat="1" spans="1:5">
      <c r="A226" s="7"/>
      <c r="B226" s="2"/>
      <c r="C226" s="2"/>
      <c r="D226" s="3" t="s">
        <v>9</v>
      </c>
      <c r="E226" s="3">
        <v>128</v>
      </c>
    </row>
    <row r="227" customFormat="1" spans="1:5">
      <c r="A227" s="7"/>
      <c r="B227" s="2"/>
      <c r="C227" s="2"/>
      <c r="D227" s="3" t="s">
        <v>15</v>
      </c>
      <c r="E227" s="3">
        <v>64</v>
      </c>
    </row>
    <row r="228" customFormat="1" spans="1:5">
      <c r="A228" s="7"/>
      <c r="B228" s="2"/>
      <c r="C228" s="2"/>
      <c r="D228" s="3" t="s">
        <v>34</v>
      </c>
      <c r="E228" s="3">
        <v>64</v>
      </c>
    </row>
    <row r="229" customFormat="1" spans="1:5">
      <c r="A229" s="7"/>
      <c r="B229" s="2"/>
      <c r="C229" s="2"/>
      <c r="D229" s="3" t="s">
        <v>6</v>
      </c>
      <c r="E229" s="3">
        <v>3</v>
      </c>
    </row>
    <row r="230" customFormat="1" spans="1:5">
      <c r="A230" s="7"/>
      <c r="B230" s="2"/>
      <c r="C230" s="2"/>
      <c r="D230" s="3" t="s">
        <v>7</v>
      </c>
      <c r="E230" s="3">
        <v>3</v>
      </c>
    </row>
    <row r="231" customFormat="1" spans="1:5">
      <c r="A231" s="7"/>
      <c r="B231" s="2"/>
      <c r="C231" s="2" t="s">
        <v>16</v>
      </c>
      <c r="D231" s="3"/>
      <c r="E231" s="3"/>
    </row>
    <row r="232" customFormat="1" spans="1:6">
      <c r="A232" s="7"/>
      <c r="B232" s="2"/>
      <c r="C232" s="2"/>
      <c r="D232" s="3" t="s">
        <v>11</v>
      </c>
      <c r="E232" s="3">
        <v>128</v>
      </c>
      <c r="F232">
        <f>PRODUCT(E232:E234)</f>
        <v>1048576</v>
      </c>
    </row>
    <row r="233" customFormat="1" spans="1:5">
      <c r="A233" s="7"/>
      <c r="B233" s="2"/>
      <c r="C233" s="2"/>
      <c r="D233" s="3" t="s">
        <v>12</v>
      </c>
      <c r="E233" s="3">
        <v>128</v>
      </c>
    </row>
    <row r="234" customFormat="1" spans="1:5">
      <c r="A234" s="7"/>
      <c r="B234" s="2"/>
      <c r="C234" s="2"/>
      <c r="D234" s="3" t="s">
        <v>13</v>
      </c>
      <c r="E234" s="3">
        <v>64</v>
      </c>
    </row>
    <row r="235" customFormat="1" spans="1:6">
      <c r="A235" s="7"/>
      <c r="B235" s="2"/>
      <c r="C235" s="3"/>
      <c r="D235" s="3"/>
      <c r="E235" s="3"/>
      <c r="F235" s="4">
        <f>SUM(F214,F221,F225,F232)</f>
        <v>8457814016</v>
      </c>
    </row>
    <row r="236" customFormat="1"/>
    <row r="237" customFormat="1"/>
    <row r="238" customFormat="1"/>
    <row r="239" customFormat="1" spans="2:5">
      <c r="B239" s="2" t="s">
        <v>50</v>
      </c>
      <c r="C239" s="3"/>
      <c r="D239" s="3" t="s">
        <v>40</v>
      </c>
      <c r="E239" s="3"/>
    </row>
    <row r="240" customFormat="1" spans="2:5">
      <c r="B240" s="2"/>
      <c r="C240" s="2" t="s">
        <v>51</v>
      </c>
      <c r="D240" s="3"/>
      <c r="E240" s="3"/>
    </row>
    <row r="241" customFormat="1" spans="2:6">
      <c r="B241" s="2"/>
      <c r="C241" s="2"/>
      <c r="D241" s="3" t="s">
        <v>8</v>
      </c>
      <c r="E241" s="3">
        <v>128</v>
      </c>
      <c r="F241">
        <f>2*PRODUCT(E241:E246)</f>
        <v>37748736</v>
      </c>
    </row>
    <row r="242" customFormat="1" spans="2:5">
      <c r="B242" s="2"/>
      <c r="C242" s="2"/>
      <c r="D242" s="3" t="s">
        <v>9</v>
      </c>
      <c r="E242" s="3">
        <v>128</v>
      </c>
    </row>
    <row r="243" customFormat="1" spans="2:5">
      <c r="B243" s="2"/>
      <c r="C243" s="2"/>
      <c r="D243" s="3" t="s">
        <v>15</v>
      </c>
      <c r="E243" s="3">
        <v>2</v>
      </c>
    </row>
    <row r="244" customFormat="1" spans="2:5">
      <c r="B244" s="2"/>
      <c r="C244" s="2"/>
      <c r="D244" s="3" t="s">
        <v>34</v>
      </c>
      <c r="E244" s="3">
        <v>64</v>
      </c>
    </row>
    <row r="245" customFormat="1" spans="2:5">
      <c r="B245" s="2"/>
      <c r="C245" s="2"/>
      <c r="D245" s="3" t="s">
        <v>6</v>
      </c>
      <c r="E245" s="3">
        <v>3</v>
      </c>
    </row>
    <row r="246" customFormat="1" spans="2:5">
      <c r="B246" s="2"/>
      <c r="C246" s="2"/>
      <c r="D246" s="3" t="s">
        <v>7</v>
      </c>
      <c r="E246" s="3">
        <v>3</v>
      </c>
    </row>
    <row r="247" customFormat="1" spans="2:5">
      <c r="B247" s="2"/>
      <c r="C247" s="2" t="s">
        <v>16</v>
      </c>
      <c r="D247" s="3"/>
      <c r="E247" s="3"/>
    </row>
    <row r="248" customFormat="1" spans="2:6">
      <c r="B248" s="2"/>
      <c r="C248" s="2"/>
      <c r="D248" s="3" t="s">
        <v>11</v>
      </c>
      <c r="E248" s="3">
        <v>128</v>
      </c>
      <c r="F248">
        <f>PRODUCT(E248:E250)</f>
        <v>32768</v>
      </c>
    </row>
    <row r="249" customFormat="1" spans="2:5">
      <c r="B249" s="2"/>
      <c r="C249" s="2"/>
      <c r="D249" s="3" t="s">
        <v>12</v>
      </c>
      <c r="E249" s="3">
        <v>128</v>
      </c>
    </row>
    <row r="250" customFormat="1" spans="2:5">
      <c r="B250" s="2"/>
      <c r="C250" s="2"/>
      <c r="D250" s="3" t="s">
        <v>13</v>
      </c>
      <c r="E250" s="3">
        <v>2</v>
      </c>
    </row>
    <row r="251" customFormat="1" spans="2:5">
      <c r="B251" s="2"/>
      <c r="C251" s="2" t="s">
        <v>52</v>
      </c>
      <c r="D251" s="3"/>
      <c r="E251" s="3"/>
    </row>
    <row r="252" customFormat="1" spans="2:6">
      <c r="B252" s="2"/>
      <c r="C252" s="2"/>
      <c r="D252" s="3" t="s">
        <v>8</v>
      </c>
      <c r="E252" s="3">
        <v>128</v>
      </c>
      <c r="F252">
        <f>2*PRODUCT(E252:E257)</f>
        <v>589824</v>
      </c>
    </row>
    <row r="253" customFormat="1" spans="2:5">
      <c r="B253" s="2"/>
      <c r="C253" s="2"/>
      <c r="D253" s="3" t="s">
        <v>9</v>
      </c>
      <c r="E253" s="3">
        <v>128</v>
      </c>
    </row>
    <row r="254" customFormat="1" spans="2:5">
      <c r="B254" s="2"/>
      <c r="C254" s="2"/>
      <c r="D254" s="3" t="s">
        <v>15</v>
      </c>
      <c r="E254" s="3">
        <v>1</v>
      </c>
    </row>
    <row r="255" customFormat="1" spans="2:5">
      <c r="B255" s="2"/>
      <c r="C255" s="2"/>
      <c r="D255" s="3" t="s">
        <v>34</v>
      </c>
      <c r="E255" s="3">
        <v>2</v>
      </c>
    </row>
    <row r="256" customFormat="1" spans="2:5">
      <c r="B256" s="2"/>
      <c r="C256" s="2"/>
      <c r="D256" s="3" t="s">
        <v>6</v>
      </c>
      <c r="E256" s="3">
        <v>3</v>
      </c>
    </row>
    <row r="257" customFormat="1" spans="2:5">
      <c r="B257" s="2"/>
      <c r="C257" s="2"/>
      <c r="D257" s="3" t="s">
        <v>7</v>
      </c>
      <c r="E257" s="3">
        <v>3</v>
      </c>
    </row>
    <row r="258" customFormat="1" spans="2:5">
      <c r="B258" s="2"/>
      <c r="C258" s="2" t="s">
        <v>16</v>
      </c>
      <c r="D258" s="3"/>
      <c r="E258" s="3"/>
    </row>
    <row r="259" customFormat="1" spans="2:6">
      <c r="B259" s="2"/>
      <c r="C259" s="2"/>
      <c r="D259" s="3" t="s">
        <v>11</v>
      </c>
      <c r="E259" s="3">
        <v>128</v>
      </c>
      <c r="F259">
        <f>PRODUCT(E259:E261)</f>
        <v>16384</v>
      </c>
    </row>
    <row r="260" customFormat="1" spans="2:5">
      <c r="B260" s="2"/>
      <c r="C260" s="2"/>
      <c r="D260" s="3" t="s">
        <v>12</v>
      </c>
      <c r="E260" s="3">
        <v>128</v>
      </c>
    </row>
    <row r="261" customFormat="1" spans="2:5">
      <c r="B261" s="2"/>
      <c r="C261" s="2"/>
      <c r="D261" s="3" t="s">
        <v>13</v>
      </c>
      <c r="E261" s="3">
        <v>1</v>
      </c>
    </row>
    <row r="262" customFormat="1" spans="2:5">
      <c r="B262" s="2"/>
      <c r="C262" s="2" t="s">
        <v>33</v>
      </c>
      <c r="D262" s="3"/>
      <c r="E262" s="3"/>
    </row>
    <row r="263" customFormat="1" spans="2:6">
      <c r="B263" s="2"/>
      <c r="C263" s="2"/>
      <c r="D263" s="3" t="s">
        <v>8</v>
      </c>
      <c r="E263" s="3">
        <v>128</v>
      </c>
      <c r="F263">
        <f>2*PRODUCT(E263:E268)</f>
        <v>37748736</v>
      </c>
    </row>
    <row r="264" customFormat="1" spans="2:5">
      <c r="B264" s="2"/>
      <c r="C264" s="2"/>
      <c r="D264" s="3" t="s">
        <v>9</v>
      </c>
      <c r="E264" s="3">
        <v>128</v>
      </c>
    </row>
    <row r="265" customFormat="1" spans="2:5">
      <c r="B265" s="2"/>
      <c r="C265" s="2"/>
      <c r="D265" s="3" t="s">
        <v>15</v>
      </c>
      <c r="E265" s="3">
        <v>128</v>
      </c>
    </row>
    <row r="266" customFormat="1" spans="2:5">
      <c r="B266" s="2"/>
      <c r="C266" s="2"/>
      <c r="D266" s="3" t="s">
        <v>34</v>
      </c>
      <c r="E266" s="3">
        <v>1</v>
      </c>
    </row>
    <row r="267" customFormat="1" spans="2:5">
      <c r="B267" s="2"/>
      <c r="C267" s="2"/>
      <c r="D267" s="3" t="s">
        <v>6</v>
      </c>
      <c r="E267" s="3">
        <v>3</v>
      </c>
    </row>
    <row r="268" customFormat="1" spans="2:5">
      <c r="B268" s="2"/>
      <c r="C268" s="2"/>
      <c r="D268" s="3" t="s">
        <v>7</v>
      </c>
      <c r="E268" s="3">
        <v>3</v>
      </c>
    </row>
    <row r="269" customFormat="1" spans="2:5">
      <c r="B269" s="2"/>
      <c r="C269" s="2" t="s">
        <v>16</v>
      </c>
      <c r="D269" s="3"/>
      <c r="E269" s="3"/>
    </row>
    <row r="270" customFormat="1" spans="2:6">
      <c r="B270" s="2"/>
      <c r="C270" s="2"/>
      <c r="D270" s="3" t="s">
        <v>11</v>
      </c>
      <c r="E270" s="3">
        <v>128</v>
      </c>
      <c r="F270">
        <f>PRODUCT(E270:E272)</f>
        <v>2097152</v>
      </c>
    </row>
    <row r="271" customFormat="1" spans="2:5">
      <c r="B271" s="2"/>
      <c r="C271" s="2"/>
      <c r="D271" s="3" t="s">
        <v>12</v>
      </c>
      <c r="E271" s="3">
        <v>128</v>
      </c>
    </row>
    <row r="272" customFormat="1" spans="2:5">
      <c r="B272" s="2"/>
      <c r="C272" s="2"/>
      <c r="D272" s="3" t="s">
        <v>13</v>
      </c>
      <c r="E272" s="3">
        <v>128</v>
      </c>
    </row>
    <row r="273" customFormat="1" spans="2:5">
      <c r="B273" s="2"/>
      <c r="C273" s="2" t="s">
        <v>33</v>
      </c>
      <c r="D273" s="3"/>
      <c r="E273" s="3"/>
    </row>
    <row r="274" customFormat="1" spans="2:6">
      <c r="B274" s="2"/>
      <c r="C274" s="2"/>
      <c r="D274" s="3" t="s">
        <v>8</v>
      </c>
      <c r="E274" s="3">
        <v>128</v>
      </c>
      <c r="F274">
        <f>2*PRODUCT(E274:E279)</f>
        <v>150994944</v>
      </c>
    </row>
    <row r="275" customFormat="1" spans="2:5">
      <c r="B275" s="2"/>
      <c r="C275" s="2"/>
      <c r="D275" s="3" t="s">
        <v>9</v>
      </c>
      <c r="E275" s="3">
        <v>128</v>
      </c>
    </row>
    <row r="276" customFormat="1" spans="2:5">
      <c r="B276" s="2"/>
      <c r="C276" s="2"/>
      <c r="D276" s="3" t="s">
        <v>15</v>
      </c>
      <c r="E276" s="3">
        <v>4</v>
      </c>
    </row>
    <row r="277" customFormat="1" spans="2:5">
      <c r="B277" s="2"/>
      <c r="C277" s="2"/>
      <c r="D277" s="3" t="s">
        <v>34</v>
      </c>
      <c r="E277" s="3">
        <v>128</v>
      </c>
    </row>
    <row r="278" customFormat="1" spans="2:5">
      <c r="B278" s="2"/>
      <c r="C278" s="2"/>
      <c r="D278" s="3" t="s">
        <v>6</v>
      </c>
      <c r="E278" s="3">
        <v>3</v>
      </c>
    </row>
    <row r="279" customFormat="1" spans="2:5">
      <c r="B279" s="2"/>
      <c r="C279" s="2"/>
      <c r="D279" s="3" t="s">
        <v>7</v>
      </c>
      <c r="E279" s="3">
        <v>3</v>
      </c>
    </row>
    <row r="280" customFormat="1" spans="3:6">
      <c r="C280" s="8"/>
      <c r="D280" s="9"/>
      <c r="E280" s="9"/>
      <c r="F280" s="10">
        <f>SUM(F241,F248,F252,F259,F263,F270,F274)</f>
        <v>229228544</v>
      </c>
    </row>
    <row r="281" customFormat="1" spans="3:6">
      <c r="C281" s="8"/>
      <c r="D281" s="9"/>
      <c r="E281" s="9"/>
      <c r="F281" s="11"/>
    </row>
    <row r="282" customFormat="1" spans="3:6">
      <c r="C282" s="8"/>
      <c r="D282" s="9"/>
      <c r="E282" s="9"/>
      <c r="F282" s="11"/>
    </row>
    <row r="283" customFormat="1"/>
    <row r="284" customFormat="1" spans="3:3">
      <c r="C284" s="3" t="s">
        <v>53</v>
      </c>
    </row>
    <row r="285" customFormat="1" spans="3:3">
      <c r="C285" s="6">
        <f>SUM(F25,L25,R25,X25,F51,L51,R51,F77,L77,F103,F129,L129,F157,F183,F209,F235,F280)</f>
        <v>71572635648</v>
      </c>
    </row>
    <row r="287" spans="3:3">
      <c r="C287">
        <f>C285*10^(-9)</f>
        <v>71.572635648</v>
      </c>
    </row>
  </sheetData>
  <mergeCells count="83">
    <mergeCell ref="A1:A129"/>
    <mergeCell ref="A134:A235"/>
    <mergeCell ref="B2:B25"/>
    <mergeCell ref="B28:B51"/>
    <mergeCell ref="B54:B77"/>
    <mergeCell ref="B80:B103"/>
    <mergeCell ref="B106:B129"/>
    <mergeCell ref="B134:B157"/>
    <mergeCell ref="B160:B183"/>
    <mergeCell ref="B186:B209"/>
    <mergeCell ref="B212:B235"/>
    <mergeCell ref="B239:B279"/>
    <mergeCell ref="C3:C9"/>
    <mergeCell ref="C10:C13"/>
    <mergeCell ref="C14:C20"/>
    <mergeCell ref="C21:C24"/>
    <mergeCell ref="C29:C35"/>
    <mergeCell ref="C36:C39"/>
    <mergeCell ref="C40:C46"/>
    <mergeCell ref="C47:C50"/>
    <mergeCell ref="C55:C61"/>
    <mergeCell ref="C62:C65"/>
    <mergeCell ref="C66:C72"/>
    <mergeCell ref="C73:C76"/>
    <mergeCell ref="C81:C87"/>
    <mergeCell ref="C88:C91"/>
    <mergeCell ref="C92:C98"/>
    <mergeCell ref="C99:C102"/>
    <mergeCell ref="C107:C113"/>
    <mergeCell ref="C114:C117"/>
    <mergeCell ref="C118:C124"/>
    <mergeCell ref="C125:C128"/>
    <mergeCell ref="C135:C141"/>
    <mergeCell ref="C142:C145"/>
    <mergeCell ref="C146:C152"/>
    <mergeCell ref="C153:C156"/>
    <mergeCell ref="C161:C167"/>
    <mergeCell ref="C168:C171"/>
    <mergeCell ref="C172:C178"/>
    <mergeCell ref="C179:C182"/>
    <mergeCell ref="C187:C193"/>
    <mergeCell ref="C194:C197"/>
    <mergeCell ref="C198:C204"/>
    <mergeCell ref="C205:C208"/>
    <mergeCell ref="C213:C219"/>
    <mergeCell ref="C220:C223"/>
    <mergeCell ref="C224:C230"/>
    <mergeCell ref="C231:C234"/>
    <mergeCell ref="C240:C246"/>
    <mergeCell ref="C247:C250"/>
    <mergeCell ref="C251:C257"/>
    <mergeCell ref="C258:C261"/>
    <mergeCell ref="C262:C268"/>
    <mergeCell ref="C269:C272"/>
    <mergeCell ref="C273:C279"/>
    <mergeCell ref="I3:I9"/>
    <mergeCell ref="I10:I13"/>
    <mergeCell ref="I14:I20"/>
    <mergeCell ref="I21:I24"/>
    <mergeCell ref="I29:I35"/>
    <mergeCell ref="I36:I39"/>
    <mergeCell ref="I40:I46"/>
    <mergeCell ref="I47:I50"/>
    <mergeCell ref="I55:I61"/>
    <mergeCell ref="I62:I65"/>
    <mergeCell ref="I66:I72"/>
    <mergeCell ref="I73:I76"/>
    <mergeCell ref="I107:I113"/>
    <mergeCell ref="I114:I117"/>
    <mergeCell ref="I118:I124"/>
    <mergeCell ref="I125:I128"/>
    <mergeCell ref="O3:O9"/>
    <mergeCell ref="O10:O13"/>
    <mergeCell ref="O14:O20"/>
    <mergeCell ref="O21:O24"/>
    <mergeCell ref="O29:O35"/>
    <mergeCell ref="O36:O39"/>
    <mergeCell ref="O40:O46"/>
    <mergeCell ref="O47:O50"/>
    <mergeCell ref="U3:U9"/>
    <mergeCell ref="U10:U13"/>
    <mergeCell ref="U14:U20"/>
    <mergeCell ref="U21:U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SpecSenseNet</vt:lpstr>
      <vt:lpstr>U-Net</vt:lpstr>
      <vt:lpstr>U-Netp</vt:lpstr>
      <vt:lpstr>U-NetE</vt:lpstr>
      <vt:lpstr>U-Netpp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huan2</dc:creator>
  <cp:lastModifiedBy>Huan Nguyen-Duy</cp:lastModifiedBy>
  <dcterms:created xsi:type="dcterms:W3CDTF">2025-03-01T08:01:00Z</dcterms:created>
  <dcterms:modified xsi:type="dcterms:W3CDTF">2025-03-01T11:09:31Z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928B3E44524C4FB0AEE16D797B16D84D_12</vt:lpwstr>
  </property>
  <property fmtid="{D5CDD505-2E9C-101B-9397-08002B2CF9AE}" pid="3" name="KSOProductBuildVer">
    <vt:lpwstr>1033-12.2.0.19805</vt:lpwstr>
  </property>
</Properties>
</file>